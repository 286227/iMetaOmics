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<sst xmlns="http://schemas.openxmlformats.org/spreadsheetml/2006/main" count="122" uniqueCount="42">
  <si>
    <t>Sample</t>
  </si>
  <si>
    <t>Breed</t>
  </si>
  <si>
    <t>Age</t>
  </si>
  <si>
    <t>Organoids budding efficiency</t>
  </si>
  <si>
    <t>Crypts per organoids</t>
  </si>
  <si>
    <t>Organoids crypt depth,µm</t>
  </si>
  <si>
    <r>
      <rPr>
        <sz val="11"/>
        <color theme="1"/>
        <rFont val="Times New Roman"/>
        <charset val="134"/>
      </rPr>
      <t>Organoids area,µm</t>
    </r>
    <r>
      <rPr>
        <vertAlign val="superscript"/>
        <sz val="11"/>
        <color theme="1"/>
        <rFont val="Times New Roman"/>
        <charset val="134"/>
      </rPr>
      <t>2</t>
    </r>
  </si>
  <si>
    <t>C1</t>
  </si>
  <si>
    <t xml:space="preserve">Shaziling </t>
  </si>
  <si>
    <t>C2</t>
  </si>
  <si>
    <t>Shaziling</t>
  </si>
  <si>
    <t>C3</t>
  </si>
  <si>
    <t>C4</t>
  </si>
  <si>
    <t>C5</t>
  </si>
  <si>
    <t>C6</t>
  </si>
  <si>
    <t>L1</t>
  </si>
  <si>
    <t>Yorkshire</t>
  </si>
  <si>
    <t>L2</t>
  </si>
  <si>
    <t>L3</t>
  </si>
  <si>
    <t>L4</t>
  </si>
  <si>
    <t>L5</t>
  </si>
  <si>
    <t>L6</t>
  </si>
  <si>
    <t>Olfm4+ cells per crypt</t>
  </si>
  <si>
    <t>PPARα</t>
  </si>
  <si>
    <t>CPT1A</t>
  </si>
  <si>
    <t>FABP4</t>
  </si>
  <si>
    <t>CD36</t>
  </si>
  <si>
    <t>APOA1</t>
  </si>
  <si>
    <t>DMSO-1</t>
  </si>
  <si>
    <t>DMSO-2</t>
  </si>
  <si>
    <t>DMSO-3</t>
  </si>
  <si>
    <t>GW6471-1</t>
  </si>
  <si>
    <t>GW6471-2</t>
  </si>
  <si>
    <t>GW6471-3</t>
  </si>
  <si>
    <t>WY14643-1</t>
  </si>
  <si>
    <t>WY14643-2</t>
  </si>
  <si>
    <t>WY14643-3</t>
  </si>
  <si>
    <t>PPAR</t>
  </si>
  <si>
    <t>PDK4</t>
  </si>
  <si>
    <t>ACOX1</t>
  </si>
  <si>
    <t>LGR5</t>
  </si>
  <si>
    <t>Bmi1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</si>
</sst>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tabSelected="1" topLeftCell="A43" workbookViewId="0">
      <selection activeCell="F14" sqref="F14"/>
    </sheetView>
  </sheetViews>
  <sheetFormatPr defaultColWidth="8.72727272727273" defaultRowHeight="14"/>
  <cols>
    <col min="1" max="1" width="11.9090909090909" style="1" customWidth="1"/>
    <col min="2" max="2" width="21.5454545454545" style="1" customWidth="1"/>
    <col min="3" max="3" width="17.8181818181818" style="1" customWidth="1"/>
    <col min="4" max="4" width="24.3636363636364" style="1" customWidth="1"/>
    <col min="5" max="5" width="18.5454545454545" style="1" customWidth="1"/>
    <col min="6" max="6" width="21.2727272727273" style="1" customWidth="1"/>
    <col min="7" max="7" width="18.4545454545455" style="1" customWidth="1"/>
    <col min="8" max="8" width="12.8181818181818" style="1"/>
    <col min="9" max="9" width="16.8181818181818" style="1" customWidth="1"/>
    <col min="10" max="16384" width="8.72727272727273" style="1"/>
  </cols>
  <sheetData>
    <row r="1" s="1" customFormat="1" ht="16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spans="1:7">
      <c r="A2" s="2" t="s">
        <v>7</v>
      </c>
      <c r="B2" s="2" t="s">
        <v>8</v>
      </c>
      <c r="C2" s="2">
        <v>210</v>
      </c>
      <c r="D2" s="3">
        <v>0.351940702</v>
      </c>
      <c r="E2" s="3">
        <v>1.941666667</v>
      </c>
      <c r="F2" s="3">
        <v>42.75511</v>
      </c>
      <c r="G2" s="3">
        <v>9864.897</v>
      </c>
    </row>
    <row r="3" s="1" customFormat="1" spans="1:7">
      <c r="A3" s="2" t="s">
        <v>9</v>
      </c>
      <c r="B3" s="2" t="s">
        <v>10</v>
      </c>
      <c r="C3" s="2">
        <v>210</v>
      </c>
      <c r="D3" s="3">
        <v>0.268518519</v>
      </c>
      <c r="E3" s="3">
        <v>2.066666667</v>
      </c>
      <c r="F3" s="3">
        <v>39.37673571</v>
      </c>
      <c r="G3" s="3">
        <v>8405.542033</v>
      </c>
    </row>
    <row r="4" s="1" customFormat="1" spans="1:7">
      <c r="A4" s="2" t="s">
        <v>11</v>
      </c>
      <c r="B4" s="2" t="s">
        <v>10</v>
      </c>
      <c r="C4" s="2">
        <v>210</v>
      </c>
      <c r="D4" s="3">
        <v>0.231408952</v>
      </c>
      <c r="E4" s="3">
        <v>2.069444444</v>
      </c>
      <c r="F4" s="3">
        <v>38.17387556</v>
      </c>
      <c r="G4" s="3">
        <v>9911.421291</v>
      </c>
    </row>
    <row r="5" s="1" customFormat="1" spans="1:7">
      <c r="A5" s="2" t="s">
        <v>12</v>
      </c>
      <c r="B5" s="2" t="s">
        <v>10</v>
      </c>
      <c r="C5" s="2">
        <v>210</v>
      </c>
      <c r="D5" s="3">
        <v>0.256789</v>
      </c>
      <c r="E5" s="3">
        <v>2.133333333</v>
      </c>
      <c r="F5" s="3">
        <v>43.67795122</v>
      </c>
      <c r="G5" s="3">
        <v>8593.880839</v>
      </c>
    </row>
    <row r="6" s="1" customFormat="1" spans="1:7">
      <c r="A6" s="2" t="s">
        <v>13</v>
      </c>
      <c r="B6" s="2" t="s">
        <v>10</v>
      </c>
      <c r="C6" s="2">
        <v>210</v>
      </c>
      <c r="D6" s="3">
        <v>0.285345678</v>
      </c>
      <c r="E6" s="3">
        <v>1.956789765432</v>
      </c>
      <c r="F6" s="3">
        <v>34.92849</v>
      </c>
      <c r="G6" s="3">
        <v>8643.65432</v>
      </c>
    </row>
    <row r="7" s="1" customFormat="1" spans="1:7">
      <c r="A7" s="2" t="s">
        <v>14</v>
      </c>
      <c r="B7" s="2" t="s">
        <v>10</v>
      </c>
      <c r="C7" s="2">
        <v>210</v>
      </c>
      <c r="D7" s="3">
        <v>0.2967543</v>
      </c>
      <c r="E7" s="3">
        <v>2.0934567</v>
      </c>
      <c r="F7" s="3">
        <v>42.654324567</v>
      </c>
      <c r="G7" s="3">
        <v>8323.65432</v>
      </c>
    </row>
    <row r="8" s="1" customFormat="1" spans="1:7">
      <c r="A8" s="2" t="s">
        <v>15</v>
      </c>
      <c r="B8" s="2" t="s">
        <v>16</v>
      </c>
      <c r="C8" s="2">
        <v>210</v>
      </c>
      <c r="D8" s="3">
        <v>0.269333965</v>
      </c>
      <c r="E8" s="3">
        <v>2.009259259</v>
      </c>
      <c r="F8" s="3">
        <v>30.30348178</v>
      </c>
      <c r="G8" s="3">
        <v>3427.213324</v>
      </c>
    </row>
    <row r="9" s="1" customFormat="1" spans="1:7">
      <c r="A9" s="2" t="s">
        <v>17</v>
      </c>
      <c r="B9" s="2" t="s">
        <v>16</v>
      </c>
      <c r="C9" s="2">
        <v>210</v>
      </c>
      <c r="D9" s="3">
        <v>0.366469271</v>
      </c>
      <c r="E9" s="3">
        <v>1.993333333</v>
      </c>
      <c r="F9" s="3">
        <v>31.65073714</v>
      </c>
      <c r="G9" s="3">
        <v>3449.127566</v>
      </c>
    </row>
    <row r="10" s="1" customFormat="1" spans="1:7">
      <c r="A10" s="2" t="s">
        <v>18</v>
      </c>
      <c r="B10" s="2" t="s">
        <v>16</v>
      </c>
      <c r="C10" s="2">
        <v>210</v>
      </c>
      <c r="D10" s="3">
        <v>0.168018278</v>
      </c>
      <c r="E10" s="3">
        <v>2.066666667</v>
      </c>
      <c r="F10" s="3">
        <v>25.05992</v>
      </c>
      <c r="G10" s="3">
        <v>2954.831727</v>
      </c>
    </row>
    <row r="11" s="1" customFormat="1" spans="1:7">
      <c r="A11" s="2" t="s">
        <v>19</v>
      </c>
      <c r="B11" s="2" t="s">
        <v>16</v>
      </c>
      <c r="C11" s="2">
        <v>210</v>
      </c>
      <c r="D11" s="3">
        <v>0.2435678</v>
      </c>
      <c r="E11" s="3">
        <v>1.833333333</v>
      </c>
      <c r="F11" s="3">
        <v>26.85696367</v>
      </c>
      <c r="G11" s="3">
        <v>3360.7654</v>
      </c>
    </row>
    <row r="12" s="1" customFormat="1" spans="1:7">
      <c r="A12" s="2" t="s">
        <v>20</v>
      </c>
      <c r="B12" s="2" t="s">
        <v>16</v>
      </c>
      <c r="C12" s="2">
        <v>210</v>
      </c>
      <c r="D12" s="3">
        <v>0.211111232456</v>
      </c>
      <c r="E12" s="3">
        <v>2.1</v>
      </c>
      <c r="F12" s="3">
        <v>18.11077</v>
      </c>
      <c r="G12" s="3">
        <v>3087.87654</v>
      </c>
    </row>
    <row r="13" s="1" customFormat="1" spans="1:7">
      <c r="A13" s="2" t="s">
        <v>21</v>
      </c>
      <c r="B13" s="2" t="s">
        <v>16</v>
      </c>
      <c r="C13" s="2">
        <v>210</v>
      </c>
      <c r="D13" s="3">
        <v>0.256789</v>
      </c>
      <c r="E13" s="3">
        <v>2.065432</v>
      </c>
      <c r="F13" s="3">
        <v>29.87654</v>
      </c>
      <c r="G13" s="3">
        <v>3243.876543</v>
      </c>
    </row>
    <row r="16" s="1" customFormat="1" spans="1:7">
      <c r="A16" s="2" t="s">
        <v>0</v>
      </c>
      <c r="B16" s="2" t="s">
        <v>1</v>
      </c>
      <c r="C16" s="2" t="s">
        <v>2</v>
      </c>
      <c r="D16" s="2" t="s">
        <v>22</v>
      </c>
    </row>
    <row r="17" s="1" customFormat="1" spans="1:8">
      <c r="A17" s="2" t="s">
        <v>7</v>
      </c>
      <c r="B17" s="2" t="s">
        <v>8</v>
      </c>
      <c r="C17" s="2">
        <v>210</v>
      </c>
      <c r="D17" s="2">
        <v>9.64</v>
      </c>
    </row>
    <row r="18" s="1" customFormat="1" spans="1:8">
      <c r="A18" s="2" t="s">
        <v>9</v>
      </c>
      <c r="B18" s="2" t="s">
        <v>10</v>
      </c>
      <c r="C18" s="2">
        <v>210</v>
      </c>
      <c r="D18" s="2">
        <v>10.16216216</v>
      </c>
    </row>
    <row r="19" s="1" customFormat="1" spans="1:8">
      <c r="A19" s="2" t="s">
        <v>11</v>
      </c>
      <c r="B19" s="2" t="s">
        <v>10</v>
      </c>
      <c r="C19" s="2">
        <v>210</v>
      </c>
      <c r="D19" s="2">
        <v>8.571428571</v>
      </c>
    </row>
    <row r="20" s="1" customFormat="1" spans="1:8">
      <c r="A20" s="2" t="s">
        <v>12</v>
      </c>
      <c r="B20" s="2" t="s">
        <v>10</v>
      </c>
      <c r="C20" s="2">
        <v>210</v>
      </c>
      <c r="D20" s="2">
        <v>9.243243243</v>
      </c>
    </row>
    <row r="21" s="1" customFormat="1" spans="1:8">
      <c r="A21" s="2" t="s">
        <v>13</v>
      </c>
      <c r="B21" s="2" t="s">
        <v>10</v>
      </c>
      <c r="C21" s="2">
        <v>210</v>
      </c>
      <c r="D21" s="2">
        <v>10.02777778</v>
      </c>
    </row>
    <row r="22" s="1" customFormat="1" spans="1:8">
      <c r="A22" s="2" t="s">
        <v>14</v>
      </c>
      <c r="B22" s="2" t="s">
        <v>10</v>
      </c>
      <c r="C22" s="2">
        <v>210</v>
      </c>
      <c r="D22" s="2">
        <v>10.48648649</v>
      </c>
    </row>
    <row r="23" s="1" customFormat="1" spans="1:8">
      <c r="A23" s="2" t="s">
        <v>15</v>
      </c>
      <c r="B23" s="2" t="s">
        <v>16</v>
      </c>
      <c r="C23" s="2">
        <v>210</v>
      </c>
      <c r="D23" s="2">
        <v>8.837837838</v>
      </c>
    </row>
    <row r="24" s="1" customFormat="1" spans="1:8">
      <c r="A24" s="2" t="s">
        <v>17</v>
      </c>
      <c r="B24" s="2" t="s">
        <v>16</v>
      </c>
      <c r="C24" s="2">
        <v>210</v>
      </c>
      <c r="D24" s="2">
        <v>7.375</v>
      </c>
    </row>
    <row r="25" s="1" customFormat="1" spans="1:8">
      <c r="A25" s="2" t="s">
        <v>18</v>
      </c>
      <c r="B25" s="2" t="s">
        <v>16</v>
      </c>
      <c r="C25" s="2">
        <v>210</v>
      </c>
      <c r="D25" s="2">
        <v>7.783783784</v>
      </c>
    </row>
    <row r="26" s="1" customFormat="1" spans="1:8">
      <c r="A26" s="2" t="s">
        <v>19</v>
      </c>
      <c r="B26" s="2" t="s">
        <v>16</v>
      </c>
      <c r="C26" s="2">
        <v>210</v>
      </c>
      <c r="D26" s="2">
        <v>8.638888889</v>
      </c>
    </row>
    <row r="27" s="1" customFormat="1" spans="1:8">
      <c r="A27" s="2" t="s">
        <v>20</v>
      </c>
      <c r="B27" s="2" t="s">
        <v>16</v>
      </c>
      <c r="C27" s="2">
        <v>210</v>
      </c>
      <c r="D27" s="2">
        <v>8.1</v>
      </c>
    </row>
    <row r="28" s="1" customFormat="1" spans="1:8">
      <c r="A28" s="2" t="s">
        <v>21</v>
      </c>
      <c r="B28" s="2" t="s">
        <v>16</v>
      </c>
      <c r="C28" s="2">
        <v>210</v>
      </c>
      <c r="D28" s="2">
        <v>8.722222222</v>
      </c>
    </row>
    <row r="31" s="1" customFormat="1" spans="1:8">
      <c r="A31" s="2" t="s">
        <v>0</v>
      </c>
      <c r="B31" s="2" t="s">
        <v>1</v>
      </c>
      <c r="C31" s="2" t="s">
        <v>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27</v>
      </c>
    </row>
    <row r="32" s="1" customFormat="1" spans="1:8">
      <c r="A32" s="2" t="s">
        <v>7</v>
      </c>
      <c r="B32" s="2" t="s">
        <v>8</v>
      </c>
      <c r="C32" s="2">
        <v>210</v>
      </c>
      <c r="D32" s="2">
        <v>0.615736704013022</v>
      </c>
      <c r="E32" s="2">
        <v>0.849130012950782</v>
      </c>
      <c r="F32" s="2">
        <v>0.448428958060077</v>
      </c>
      <c r="G32" s="2">
        <v>0.794740043115228</v>
      </c>
      <c r="H32" s="2">
        <v>0.762847063546182</v>
      </c>
    </row>
    <row r="33" s="1" customFormat="1" spans="1:8">
      <c r="A33" s="2" t="s">
        <v>9</v>
      </c>
      <c r="B33" s="2" t="s">
        <v>10</v>
      </c>
      <c r="C33" s="2">
        <v>210</v>
      </c>
      <c r="D33" s="2">
        <v>1.11210619941806</v>
      </c>
      <c r="E33" s="2">
        <v>1.02058269884589</v>
      </c>
      <c r="F33" s="2">
        <v>1.03038593830477</v>
      </c>
      <c r="G33" s="2">
        <v>1.65899603707709</v>
      </c>
      <c r="H33" s="2">
        <v>1.1976077967301</v>
      </c>
    </row>
    <row r="34" s="1" customFormat="1" spans="1:8">
      <c r="A34" s="2" t="s">
        <v>11</v>
      </c>
      <c r="B34" s="2" t="s">
        <v>10</v>
      </c>
      <c r="C34" s="2">
        <v>210</v>
      </c>
      <c r="D34" s="2">
        <v>0.768733730577072</v>
      </c>
      <c r="E34" s="2">
        <v>0.864512380704784</v>
      </c>
      <c r="F34" s="2">
        <v>0.238371845558768</v>
      </c>
      <c r="G34" s="2">
        <v>1.07248009872309</v>
      </c>
      <c r="H34" s="2">
        <v>1.62891641460754</v>
      </c>
    </row>
    <row r="35" s="1" customFormat="1" spans="1:8">
      <c r="A35" s="2" t="s">
        <v>12</v>
      </c>
      <c r="B35" s="2" t="s">
        <v>10</v>
      </c>
      <c r="C35" s="2">
        <v>210</v>
      </c>
      <c r="D35" s="2">
        <v>0.905073833871813</v>
      </c>
      <c r="E35" s="2">
        <v>0.887525262761614</v>
      </c>
      <c r="F35" s="2">
        <v>1.74905347401506</v>
      </c>
      <c r="G35" s="2">
        <v>0.905277473782443</v>
      </c>
      <c r="H35" s="2">
        <v>0.602654072077737</v>
      </c>
    </row>
    <row r="36" s="1" customFormat="1" spans="1:8">
      <c r="A36" s="2" t="s">
        <v>13</v>
      </c>
      <c r="B36" s="2" t="s">
        <v>10</v>
      </c>
      <c r="C36" s="2">
        <v>210</v>
      </c>
      <c r="D36" s="2">
        <v>0.849687073586598</v>
      </c>
      <c r="E36" s="2">
        <v>1.46581144338649</v>
      </c>
      <c r="F36" s="2">
        <v>1.39696654736571</v>
      </c>
      <c r="G36" s="2">
        <v>0.781193462039764</v>
      </c>
      <c r="H36" s="2">
        <v>0.904293505649319</v>
      </c>
    </row>
    <row r="37" s="1" customFormat="1" spans="1:8">
      <c r="A37" s="2" t="s">
        <v>14</v>
      </c>
      <c r="B37" s="2" t="s">
        <v>10</v>
      </c>
      <c r="C37" s="2">
        <v>210</v>
      </c>
      <c r="D37" s="2">
        <v>1.8496870735866</v>
      </c>
      <c r="E37" s="2">
        <v>1.02600046559442</v>
      </c>
      <c r="F37" s="2">
        <v>3.71588593283604</v>
      </c>
      <c r="G37" s="2"/>
      <c r="H37" s="2">
        <v>1.23302419741849</v>
      </c>
    </row>
    <row r="38" s="1" customFormat="1" spans="1:8">
      <c r="A38" s="2" t="s">
        <v>15</v>
      </c>
      <c r="B38" s="2" t="s">
        <v>16</v>
      </c>
      <c r="C38" s="2">
        <v>210</v>
      </c>
      <c r="D38" s="2">
        <v>0.755223452466602</v>
      </c>
      <c r="E38" s="2">
        <v>0.58402919900848</v>
      </c>
      <c r="F38" s="2">
        <v>0.0762707795027615</v>
      </c>
      <c r="G38" s="2">
        <v>0.0283671166034078</v>
      </c>
      <c r="H38" s="2">
        <v>0.752395212972361</v>
      </c>
    </row>
    <row r="39" s="1" customFormat="1" spans="1:8">
      <c r="A39" s="2" t="s">
        <v>17</v>
      </c>
      <c r="B39" s="2" t="s">
        <v>16</v>
      </c>
      <c r="C39" s="2">
        <v>210</v>
      </c>
      <c r="D39" s="2">
        <v>1.07078492568212</v>
      </c>
      <c r="E39" s="2">
        <v>0.728184739752302</v>
      </c>
      <c r="F39" s="2">
        <v>0.914948526805973</v>
      </c>
      <c r="G39" s="2">
        <v>0.0186584447094411</v>
      </c>
      <c r="H39" s="2">
        <v>1.25246652100719</v>
      </c>
    </row>
    <row r="40" s="1" customFormat="1" spans="1:8">
      <c r="A40" s="2" t="s">
        <v>18</v>
      </c>
      <c r="B40" s="2" t="s">
        <v>16</v>
      </c>
      <c r="C40" s="2">
        <v>210</v>
      </c>
      <c r="D40" s="2">
        <v>0.61013024999122</v>
      </c>
      <c r="E40" s="2">
        <v>0.534580688844957</v>
      </c>
      <c r="F40" s="2">
        <v>0.162830147366312</v>
      </c>
      <c r="G40" s="2">
        <v>0.114940136244331</v>
      </c>
      <c r="H40" s="2">
        <v>0.729724273177074</v>
      </c>
    </row>
    <row r="41" s="1" customFormat="1" spans="1:8">
      <c r="A41" s="2" t="s">
        <v>19</v>
      </c>
      <c r="B41" s="2" t="s">
        <v>16</v>
      </c>
      <c r="C41" s="2">
        <v>210</v>
      </c>
      <c r="D41" s="2">
        <v>0.794783298298951</v>
      </c>
      <c r="E41" s="2">
        <v>0.581159063036736</v>
      </c>
      <c r="F41" s="2">
        <v>0.642465713435887</v>
      </c>
      <c r="G41" s="2">
        <v>0.0146703276347167</v>
      </c>
      <c r="H41" s="2">
        <v>1.04912161001777</v>
      </c>
    </row>
    <row r="42" s="1" customFormat="1" spans="1:8">
      <c r="A42" s="2" t="s">
        <v>20</v>
      </c>
      <c r="B42" s="2" t="s">
        <v>16</v>
      </c>
      <c r="C42" s="2">
        <v>210</v>
      </c>
      <c r="D42" s="2">
        <v>0.258444361294187</v>
      </c>
      <c r="E42" s="2">
        <v>0.108440971669575</v>
      </c>
      <c r="F42" s="2">
        <v>0.0574140815284762</v>
      </c>
      <c r="G42" s="2">
        <v>0.015055522253951</v>
      </c>
      <c r="H42" s="2">
        <v>1.02333283001947</v>
      </c>
    </row>
    <row r="43" s="1" customFormat="1" spans="1:8">
      <c r="A43" s="2" t="s">
        <v>21</v>
      </c>
      <c r="B43" s="2" t="s">
        <v>16</v>
      </c>
      <c r="C43" s="2">
        <v>210</v>
      </c>
      <c r="D43" s="2">
        <v>0.261975176724936</v>
      </c>
      <c r="E43" s="2">
        <v>0.255756112019619</v>
      </c>
      <c r="F43" s="2">
        <v>0.121260646766381</v>
      </c>
      <c r="G43" s="2">
        <v>0.0228161748359846</v>
      </c>
      <c r="H43" s="2">
        <v>0.849993147585873</v>
      </c>
    </row>
    <row r="46" s="1" customFormat="1" ht="16" spans="1:8">
      <c r="A46" s="2" t="s">
        <v>0</v>
      </c>
      <c r="B46" s="2" t="s">
        <v>3</v>
      </c>
      <c r="C46" s="2" t="s">
        <v>5</v>
      </c>
      <c r="D46" s="2" t="s">
        <v>6</v>
      </c>
    </row>
    <row r="47" s="1" customFormat="1" spans="1:8">
      <c r="A47" s="3" t="s">
        <v>28</v>
      </c>
      <c r="B47" s="3">
        <v>0.504573836</v>
      </c>
      <c r="C47" s="3">
        <v>61.36960569</v>
      </c>
      <c r="D47" s="3">
        <v>8096.024779</v>
      </c>
    </row>
    <row r="48" s="1" customFormat="1" spans="1:8">
      <c r="A48" s="3" t="s">
        <v>29</v>
      </c>
      <c r="B48" s="3">
        <v>0.530946748</v>
      </c>
      <c r="C48" s="3">
        <v>60.59377911</v>
      </c>
      <c r="D48" s="3">
        <v>8408.936816</v>
      </c>
    </row>
    <row r="49" s="1" customFormat="1" spans="1:9">
      <c r="A49" s="3" t="s">
        <v>30</v>
      </c>
      <c r="B49" s="3">
        <v>0.513514979</v>
      </c>
      <c r="C49" s="3">
        <v>58.61350434</v>
      </c>
      <c r="D49" s="3">
        <v>7504.147925</v>
      </c>
    </row>
    <row r="50" s="1" customFormat="1" spans="1:9">
      <c r="A50" s="3" t="s">
        <v>31</v>
      </c>
      <c r="B50" s="3">
        <v>0.391842146</v>
      </c>
      <c r="C50" s="3">
        <v>48.79690724</v>
      </c>
      <c r="D50" s="3">
        <v>7560.264534</v>
      </c>
    </row>
    <row r="51" s="1" customFormat="1" spans="1:9">
      <c r="A51" s="3" t="s">
        <v>32</v>
      </c>
      <c r="B51" s="3">
        <v>0.405403261</v>
      </c>
      <c r="C51" s="3">
        <v>49.89630496</v>
      </c>
      <c r="D51" s="3">
        <v>7333.284217</v>
      </c>
    </row>
    <row r="52" s="1" customFormat="1" spans="1:9">
      <c r="A52" s="3" t="s">
        <v>33</v>
      </c>
      <c r="B52" s="3">
        <v>0.44907276</v>
      </c>
      <c r="C52" s="3">
        <v>55.1493472</v>
      </c>
      <c r="D52" s="3">
        <v>7325.277539</v>
      </c>
    </row>
    <row r="53" s="1" customFormat="1" spans="1:9">
      <c r="A53" s="3" t="s">
        <v>34</v>
      </c>
      <c r="B53" s="3">
        <v>0.567888281</v>
      </c>
      <c r="C53" s="3">
        <v>67.519463</v>
      </c>
      <c r="D53" s="3">
        <v>9359.90478</v>
      </c>
    </row>
    <row r="54" s="1" customFormat="1" spans="1:9">
      <c r="A54" s="3" t="s">
        <v>35</v>
      </c>
      <c r="B54" s="3">
        <v>0.57479111</v>
      </c>
      <c r="C54" s="3">
        <v>67.86599773</v>
      </c>
      <c r="D54" s="3">
        <v>9538.358362</v>
      </c>
    </row>
    <row r="55" s="1" customFormat="1" spans="1:9">
      <c r="A55" s="3" t="s">
        <v>36</v>
      </c>
      <c r="B55" s="3">
        <v>0.553637418</v>
      </c>
      <c r="C55" s="3">
        <v>66.93541459</v>
      </c>
      <c r="D55" s="3">
        <v>8296.217646</v>
      </c>
    </row>
    <row r="58" s="1" customFormat="1" spans="1:9">
      <c r="A58" s="2" t="s">
        <v>0</v>
      </c>
      <c r="B58" s="2" t="s">
        <v>37</v>
      </c>
      <c r="C58" s="2" t="s">
        <v>24</v>
      </c>
      <c r="D58" s="2" t="s">
        <v>38</v>
      </c>
      <c r="E58" s="2" t="s">
        <v>39</v>
      </c>
      <c r="F58" s="2" t="s">
        <v>26</v>
      </c>
      <c r="G58" s="2" t="s">
        <v>27</v>
      </c>
      <c r="H58" s="2" t="s">
        <v>40</v>
      </c>
      <c r="I58" s="2" t="s">
        <v>41</v>
      </c>
    </row>
    <row r="59" s="1" customFormat="1" spans="1:9">
      <c r="A59" s="3" t="s">
        <v>28</v>
      </c>
      <c r="B59" s="2">
        <v>0.328219180471727</v>
      </c>
      <c r="C59" s="2">
        <v>0.084862814577415</v>
      </c>
      <c r="D59" s="2">
        <f t="shared" ref="D59:G59" si="0">2^(-C59)</f>
        <v>0.942874189268927</v>
      </c>
      <c r="E59" s="2">
        <f t="shared" si="0"/>
        <v>0.520195495115121</v>
      </c>
      <c r="F59" s="2">
        <f t="shared" si="0"/>
        <v>0.697277340890731</v>
      </c>
      <c r="G59" s="2">
        <f t="shared" si="0"/>
        <v>0.61673501356779</v>
      </c>
      <c r="H59" s="2">
        <v>0.697277340890731</v>
      </c>
      <c r="I59" s="2">
        <f t="shared" ref="I59:I67" si="1">2^(-F59)</f>
        <v>0.61673501356779</v>
      </c>
    </row>
    <row r="60" s="1" customFormat="1" spans="1:9">
      <c r="A60" s="3" t="s">
        <v>29</v>
      </c>
      <c r="B60" s="2">
        <v>0.227589344701551</v>
      </c>
      <c r="C60" s="2">
        <v>0.118295192584137</v>
      </c>
      <c r="D60" s="2">
        <f t="shared" ref="D60:G60" si="2">2^(-C60)</f>
        <v>0.921275662941659</v>
      </c>
      <c r="E60" s="2">
        <f t="shared" si="2"/>
        <v>0.528041907433399</v>
      </c>
      <c r="F60" s="2">
        <f t="shared" si="2"/>
        <v>0.693495339607096</v>
      </c>
      <c r="G60" s="2">
        <f t="shared" si="2"/>
        <v>0.618353895254885</v>
      </c>
      <c r="H60" s="2">
        <v>0.693495339607096</v>
      </c>
      <c r="I60" s="2">
        <f t="shared" si="1"/>
        <v>0.618353895254885</v>
      </c>
    </row>
    <row r="61" s="1" customFormat="1" spans="1:9">
      <c r="A61" s="3" t="s">
        <v>30</v>
      </c>
      <c r="B61" s="2">
        <v>1.39865768174725</v>
      </c>
      <c r="C61" s="2">
        <v>1.37542435988215</v>
      </c>
      <c r="D61" s="2">
        <f t="shared" ref="D61:G61" si="3">2^(-C61)</f>
        <v>0.385439315069796</v>
      </c>
      <c r="E61" s="2">
        <f t="shared" si="3"/>
        <v>0.765545846683146</v>
      </c>
      <c r="F61" s="2">
        <f t="shared" si="3"/>
        <v>0.58823076816116</v>
      </c>
      <c r="G61" s="2">
        <f t="shared" si="3"/>
        <v>0.665158115799217</v>
      </c>
      <c r="H61" s="2">
        <v>0.58823076816116</v>
      </c>
      <c r="I61" s="2">
        <f t="shared" si="1"/>
        <v>0.665158115799217</v>
      </c>
    </row>
    <row r="62" s="1" customFormat="1" spans="1:9">
      <c r="A62" s="3" t="s">
        <v>31</v>
      </c>
      <c r="B62" s="2">
        <v>0.534823710686039</v>
      </c>
      <c r="C62" s="2">
        <v>0.0790297789532624</v>
      </c>
      <c r="D62" s="2">
        <f t="shared" ref="D62:G62" si="4">2^(-C62)</f>
        <v>0.946694090135358</v>
      </c>
      <c r="E62" s="2">
        <f t="shared" si="4"/>
        <v>0.518819967496788</v>
      </c>
      <c r="F62" s="2">
        <f t="shared" si="4"/>
        <v>0.697942472185548</v>
      </c>
      <c r="G62" s="2">
        <f t="shared" si="4"/>
        <v>0.616450743364634</v>
      </c>
      <c r="H62" s="2">
        <v>0.697942472185548</v>
      </c>
      <c r="I62" s="2">
        <f t="shared" si="1"/>
        <v>0.616450743364634</v>
      </c>
    </row>
    <row r="63" s="1" customFormat="1" spans="1:9">
      <c r="A63" s="3" t="s">
        <v>32</v>
      </c>
      <c r="B63" s="2">
        <v>1.04930004934912</v>
      </c>
      <c r="C63" s="2">
        <v>0.256314387996597</v>
      </c>
      <c r="D63" s="2">
        <f t="shared" ref="D63:G63" si="5">2^(-C63)</f>
        <v>0.837224022152282</v>
      </c>
      <c r="E63" s="2">
        <f t="shared" si="5"/>
        <v>0.559719524150166</v>
      </c>
      <c r="F63" s="2">
        <f t="shared" si="5"/>
        <v>0.678434045975259</v>
      </c>
      <c r="G63" s="2">
        <f t="shared" si="5"/>
        <v>0.624843134115137</v>
      </c>
      <c r="H63" s="2">
        <v>0.678434045975259</v>
      </c>
      <c r="I63" s="2">
        <f t="shared" si="1"/>
        <v>0.624843134115137</v>
      </c>
    </row>
    <row r="64" s="1" customFormat="1" spans="1:9">
      <c r="A64" s="3" t="s">
        <v>33</v>
      </c>
      <c r="B64" s="2">
        <v>0.0886189579130767</v>
      </c>
      <c r="C64" s="2">
        <v>0.0514983440334391</v>
      </c>
      <c r="D64" s="2">
        <f t="shared" ref="D64:G64" si="6">2^(-C64)</f>
        <v>0.964933654355118</v>
      </c>
      <c r="E64" s="2">
        <f t="shared" si="6"/>
        <v>0.5123019703574</v>
      </c>
      <c r="F64" s="2">
        <v>0.4562345</v>
      </c>
      <c r="G64" s="2">
        <f t="shared" si="6"/>
        <v>0.728886204418683</v>
      </c>
      <c r="H64" s="2">
        <v>0.70110286219098</v>
      </c>
      <c r="I64" s="2">
        <f t="shared" si="1"/>
        <v>0.728886204418683</v>
      </c>
    </row>
    <row r="65" s="1" customFormat="1" spans="1:9">
      <c r="A65" s="3" t="s">
        <v>34</v>
      </c>
      <c r="B65" s="2">
        <v>1.37935591945407</v>
      </c>
      <c r="C65" s="2">
        <v>1.96084485150547</v>
      </c>
      <c r="D65" s="2">
        <f t="shared" ref="D65:G65" si="7">2^(-C65)</f>
        <v>0.256877983208198</v>
      </c>
      <c r="E65" s="2">
        <f t="shared" si="7"/>
        <v>0.836897020753967</v>
      </c>
      <c r="F65" s="2">
        <f t="shared" si="7"/>
        <v>0.559846404610785</v>
      </c>
      <c r="G65" s="2">
        <f t="shared" si="7"/>
        <v>0.678374382472792</v>
      </c>
      <c r="H65" s="2">
        <v>0.559846404610785</v>
      </c>
      <c r="I65" s="2">
        <f t="shared" si="1"/>
        <v>0.678374382472792</v>
      </c>
    </row>
    <row r="66" s="1" customFormat="1" spans="1:9">
      <c r="A66" s="3" t="s">
        <v>35</v>
      </c>
      <c r="B66" s="2">
        <v>0.559422174203376</v>
      </c>
      <c r="C66" s="2">
        <v>0.246829416125552</v>
      </c>
      <c r="D66" s="2">
        <f t="shared" ref="D66:G66" si="8">2^(-C66)</f>
        <v>0.842746469728725</v>
      </c>
      <c r="E66" s="2">
        <f t="shared" si="8"/>
        <v>0.557581086593738</v>
      </c>
      <c r="F66" s="2">
        <f t="shared" si="8"/>
        <v>0.679440401823913</v>
      </c>
      <c r="G66" s="2">
        <f t="shared" si="8"/>
        <v>0.624407425070584</v>
      </c>
      <c r="H66" s="2">
        <v>0.679440401823913</v>
      </c>
      <c r="I66" s="2">
        <f t="shared" si="1"/>
        <v>0.624407425070584</v>
      </c>
    </row>
    <row r="67" s="1" customFormat="1" spans="1:9">
      <c r="A67" s="3" t="s">
        <v>36</v>
      </c>
      <c r="B67" s="2">
        <v>1.2959372707398</v>
      </c>
      <c r="C67" s="2">
        <v>2.06614050551474</v>
      </c>
      <c r="D67" s="2">
        <f t="shared" ref="D67:G67" si="9">2^(-C67)</f>
        <v>0.238797476237733</v>
      </c>
      <c r="E67" s="2">
        <f t="shared" si="9"/>
        <v>0.847451390784436</v>
      </c>
      <c r="F67" s="2">
        <f t="shared" si="9"/>
        <v>0.555765663453161</v>
      </c>
      <c r="G67" s="2">
        <f t="shared" si="9"/>
        <v>0.680295917502381</v>
      </c>
      <c r="H67" s="2">
        <v>0.555765663453161</v>
      </c>
      <c r="I67" s="2">
        <f t="shared" si="1"/>
        <v>0.680295917502381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ww</cp:lastModifiedBy>
  <dcterms:created xsi:type="dcterms:W3CDTF">2025-12-06T08:42:20Z</dcterms:created>
  <dcterms:modified xsi:type="dcterms:W3CDTF">2025-12-06T08:44:35Z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85C45BE380224A49AE8974789F447FCB_11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