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firstSheet="2" activeTab="4"/>
  </bookViews>
  <sheets>
    <sheet name="Primary organoids" sheetId="4" r:id="rId1"/>
    <sheet name="Intestinal morphology" sheetId="1" r:id="rId2"/>
    <sheet name="Number of cells" sheetId="2" r:id="rId3"/>
    <sheet name="Brush enzyme activity" sheetId="3" r:id="rId4"/>
    <sheet name="Gene expression" sheetId="5" r:id="rId5"/>
    <sheet name="Digestibil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<sst xmlns="http://schemas.openxmlformats.org/spreadsheetml/2006/main" count="126" uniqueCount="55">
  <si>
    <t>Sample</t>
  </si>
  <si>
    <t>Organoids budding efficiency</t>
  </si>
  <si>
    <t>Organoids crypt depth,µm</t>
  </si>
  <si>
    <r>
      <rPr>
        <sz val="11"/>
        <color theme="1"/>
        <rFont val="Times New Roman"/>
        <charset val="134"/>
      </rPr>
      <t>Organoids area,µm</t>
    </r>
    <r>
      <rPr>
        <vertAlign val="superscript"/>
        <sz val="11"/>
        <color theme="1"/>
        <rFont val="Times New Roman"/>
        <charset val="134"/>
      </rPr>
      <t>2</t>
    </r>
  </si>
  <si>
    <t>Control-1</t>
  </si>
  <si>
    <t>Control-2</t>
  </si>
  <si>
    <t>Control-3</t>
  </si>
  <si>
    <t>Control-4</t>
  </si>
  <si>
    <t>Control-5</t>
  </si>
  <si>
    <t>Control-6</t>
  </si>
  <si>
    <t>OEA-1</t>
  </si>
  <si>
    <t>OEA-2</t>
  </si>
  <si>
    <t>OEA-3</t>
  </si>
  <si>
    <t>OEA-4</t>
  </si>
  <si>
    <t>OEA-5</t>
  </si>
  <si>
    <t>OEA-6</t>
  </si>
  <si>
    <t>Villus height,µm</t>
  </si>
  <si>
    <t>Crypt depth,µm</t>
  </si>
  <si>
    <t>Villus width,µm</t>
  </si>
  <si>
    <t>VH:CD</t>
  </si>
  <si>
    <r>
      <rPr>
        <sz val="11"/>
        <color theme="1"/>
        <rFont val="Times New Roman"/>
        <charset val="134"/>
      </rPr>
      <t>Vills surface area,mm</t>
    </r>
    <r>
      <rPr>
        <vertAlign val="superscript"/>
        <sz val="11"/>
        <color theme="1"/>
        <rFont val="Times New Roman"/>
        <charset val="134"/>
      </rPr>
      <t>2</t>
    </r>
  </si>
  <si>
    <t>Control-7</t>
  </si>
  <si>
    <t>Control-8</t>
  </si>
  <si>
    <t>OEA-7</t>
  </si>
  <si>
    <t>OEA-8</t>
  </si>
  <si>
    <t xml:space="preserve"> Ki67 cells per crypt</t>
  </si>
  <si>
    <t xml:space="preserve">Endocrine cells per villus </t>
  </si>
  <si>
    <t>Endocrine cells per crypt</t>
  </si>
  <si>
    <t>Goblet cells per villus</t>
  </si>
  <si>
    <t>Goblet cells per crypt</t>
  </si>
  <si>
    <t>Sucrase, U/mgprot</t>
  </si>
  <si>
    <t>Maltase,U/mgprot</t>
  </si>
  <si>
    <t>ALP,king's U/gprot</t>
  </si>
  <si>
    <t>SGLT1</t>
  </si>
  <si>
    <t>GLUT2</t>
  </si>
  <si>
    <t>SLC1A1</t>
  </si>
  <si>
    <t>SLC7A1</t>
  </si>
  <si>
    <t>SLC6A19</t>
  </si>
  <si>
    <t>SLC15A1</t>
  </si>
  <si>
    <t>PPARα</t>
  </si>
  <si>
    <t>PDK4</t>
  </si>
  <si>
    <t>CPT1A</t>
  </si>
  <si>
    <t>CD36</t>
  </si>
  <si>
    <t>APOA1</t>
  </si>
  <si>
    <t>ACOX1</t>
  </si>
  <si>
    <t>PPARγ</t>
  </si>
  <si>
    <t>PPARδ</t>
  </si>
  <si>
    <t>Energy digestibility,%</t>
  </si>
  <si>
    <t>Protein digestibility,%</t>
  </si>
  <si>
    <t>PEA-1</t>
  </si>
  <si>
    <t>PEA-2</t>
  </si>
  <si>
    <t>PEA-3</t>
  </si>
  <si>
    <t>PEA-4</t>
  </si>
  <si>
    <t>PEA-5</t>
  </si>
  <si>
    <t>PEA-6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</si>
</sst>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6" fontId="0" fillId="0" borderId="0" xfId="0" applyNumberFormat="1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1" sqref="D1"/>
    </sheetView>
  </sheetViews>
  <sheetFormatPr defaultColWidth="8.72727272727273" defaultRowHeight="14" outlineLevelCol="3"/>
  <cols>
    <col min="1" max="1" width="10.0909090909091" style="7" customWidth="1"/>
    <col min="2" max="2" width="26.6363636363636" style="7" customWidth="1"/>
    <col min="3" max="3" width="22.1818181818182" style="7" customWidth="1"/>
    <col min="4" max="4" width="20" style="7" customWidth="1"/>
    <col min="5" max="16384" width="8.72727272727273" style="7"/>
  </cols>
  <sheetData>
    <row r="1" ht="16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0.144047619</v>
      </c>
      <c r="C2" s="2">
        <v>53.1746</v>
      </c>
      <c r="D2" s="2">
        <v>10387.06</v>
      </c>
    </row>
    <row r="3" spans="1:4">
      <c r="A3" s="1" t="s">
        <v>5</v>
      </c>
      <c r="B3" s="2">
        <v>0.24017316</v>
      </c>
      <c r="C3" s="2">
        <v>39.95878056</v>
      </c>
      <c r="D3" s="2">
        <v>11661.71</v>
      </c>
    </row>
    <row r="4" spans="1:4">
      <c r="A4" s="1" t="s">
        <v>6</v>
      </c>
      <c r="B4" s="2">
        <v>0.225252525</v>
      </c>
      <c r="C4" s="2">
        <v>49.91279091</v>
      </c>
      <c r="D4" s="2">
        <v>9313.09</v>
      </c>
    </row>
    <row r="5" spans="1:4">
      <c r="A5" s="1" t="s">
        <v>7</v>
      </c>
      <c r="B5" s="2">
        <v>0.236789</v>
      </c>
      <c r="C5" s="2">
        <v>45.7654</v>
      </c>
      <c r="D5" s="2">
        <v>11256.88</v>
      </c>
    </row>
    <row r="6" spans="1:4">
      <c r="A6" s="1" t="s">
        <v>8</v>
      </c>
      <c r="B6" s="2">
        <v>0.20654</v>
      </c>
      <c r="C6" s="2">
        <v>40.6543</v>
      </c>
      <c r="D6" s="2">
        <v>9871.77</v>
      </c>
    </row>
    <row r="7" spans="1:4">
      <c r="A7" s="1" t="s">
        <v>9</v>
      </c>
      <c r="B7" s="2">
        <v>0.19345678</v>
      </c>
      <c r="C7" s="2">
        <v>42.8765</v>
      </c>
      <c r="D7" s="2">
        <v>9276.99</v>
      </c>
    </row>
    <row r="8" spans="1:4">
      <c r="A8" s="1" t="s">
        <v>10</v>
      </c>
      <c r="B8" s="2">
        <v>0.295020524</v>
      </c>
      <c r="C8" s="2">
        <v>51.76631781</v>
      </c>
      <c r="D8" s="2">
        <v>15940</v>
      </c>
    </row>
    <row r="9" spans="1:4">
      <c r="A9" s="1" t="s">
        <v>11</v>
      </c>
      <c r="B9" s="2">
        <v>0.332977208</v>
      </c>
      <c r="C9" s="2">
        <v>56.56573932</v>
      </c>
      <c r="D9" s="2">
        <v>13599.43</v>
      </c>
    </row>
    <row r="10" spans="1:4">
      <c r="A10" s="1" t="s">
        <v>12</v>
      </c>
      <c r="B10" s="2">
        <v>0.307142857</v>
      </c>
      <c r="C10" s="2">
        <v>55.01568529</v>
      </c>
      <c r="D10" s="2">
        <v>16152.38</v>
      </c>
    </row>
    <row r="11" spans="1:4">
      <c r="A11" s="1" t="s">
        <v>13</v>
      </c>
      <c r="B11" s="2">
        <v>0.460978836</v>
      </c>
      <c r="C11" s="2">
        <v>54.18604246</v>
      </c>
      <c r="D11" s="2">
        <v>14675.98</v>
      </c>
    </row>
    <row r="12" spans="1:4">
      <c r="A12" s="1" t="s">
        <v>14</v>
      </c>
      <c r="B12" s="2">
        <v>0.35543</v>
      </c>
      <c r="C12" s="2">
        <v>50.6543</v>
      </c>
      <c r="D12" s="2">
        <v>16050.77</v>
      </c>
    </row>
    <row r="13" spans="1:4">
      <c r="A13" s="1" t="s">
        <v>15</v>
      </c>
      <c r="B13" s="2">
        <v>0.326789</v>
      </c>
      <c r="C13" s="2">
        <v>58.65432</v>
      </c>
      <c r="D13" s="2">
        <v>17004.88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D1" sqref="D1"/>
    </sheetView>
  </sheetViews>
  <sheetFormatPr defaultColWidth="8.72727272727273" defaultRowHeight="14"/>
  <cols>
    <col min="1" max="1" width="8.72727272727273" style="6"/>
    <col min="2" max="2" width="15.8181818181818" style="6" customWidth="1"/>
    <col min="3" max="3" width="15.1818181818182" style="6" customWidth="1"/>
    <col min="4" max="4" width="14.4545454545455" style="6" customWidth="1"/>
    <col min="5" max="5" width="8.72727272727273" style="6"/>
    <col min="6" max="6" width="19.5454545454545" style="6" customWidth="1"/>
    <col min="7" max="16384" width="8.72727272727273" style="6"/>
  </cols>
  <sheetData>
    <row r="1" ht="16" spans="1:13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H1"/>
      <c r="I1"/>
      <c r="J1"/>
      <c r="K1"/>
      <c r="L1"/>
      <c r="M1"/>
    </row>
    <row r="2" spans="1:13">
      <c r="A2" s="1" t="s">
        <v>4</v>
      </c>
      <c r="B2" s="2">
        <v>326.61</v>
      </c>
      <c r="C2" s="2">
        <v>264.77</v>
      </c>
      <c r="D2" s="2">
        <v>112.65</v>
      </c>
      <c r="E2" s="2">
        <v>1.23</v>
      </c>
      <c r="F2" s="2">
        <v>0.11559019</v>
      </c>
      <c r="H2"/>
      <c r="I2"/>
      <c r="J2"/>
      <c r="K2"/>
      <c r="L2"/>
      <c r="M2"/>
    </row>
    <row r="3" spans="1:13">
      <c r="A3" s="1" t="s">
        <v>5</v>
      </c>
      <c r="B3" s="2">
        <v>242.68</v>
      </c>
      <c r="C3" s="2">
        <v>199.35</v>
      </c>
      <c r="D3" s="2">
        <v>86.27</v>
      </c>
      <c r="E3" s="2">
        <v>1.22</v>
      </c>
      <c r="F3" s="2">
        <v>0.065769169</v>
      </c>
      <c r="H3"/>
      <c r="I3"/>
      <c r="J3"/>
      <c r="K3"/>
      <c r="L3"/>
      <c r="M3"/>
    </row>
    <row r="4" spans="1:13">
      <c r="A4" s="1" t="s">
        <v>6</v>
      </c>
      <c r="B4" s="2">
        <v>218.54</v>
      </c>
      <c r="C4" s="2">
        <v>200.91</v>
      </c>
      <c r="D4" s="2">
        <v>74.25</v>
      </c>
      <c r="E4" s="2">
        <v>1.09</v>
      </c>
      <c r="F4" s="2">
        <v>0.05097777</v>
      </c>
      <c r="H4"/>
      <c r="I4"/>
      <c r="J4"/>
      <c r="K4"/>
      <c r="L4"/>
      <c r="M4"/>
    </row>
    <row r="5" spans="1:13">
      <c r="A5" s="1" t="s">
        <v>7</v>
      </c>
      <c r="B5" s="2">
        <v>277.61</v>
      </c>
      <c r="C5" s="2">
        <v>260.06</v>
      </c>
      <c r="D5" s="2">
        <v>81.98</v>
      </c>
      <c r="E5" s="2">
        <v>1.07</v>
      </c>
      <c r="F5" s="2">
        <v>0.071497027</v>
      </c>
      <c r="H5"/>
      <c r="I5"/>
      <c r="J5"/>
      <c r="K5"/>
      <c r="L5"/>
      <c r="M5"/>
    </row>
    <row r="6" spans="1:13">
      <c r="A6" s="1" t="s">
        <v>8</v>
      </c>
      <c r="B6" s="2">
        <v>215.77</v>
      </c>
      <c r="C6" s="2">
        <v>207.76</v>
      </c>
      <c r="D6" s="2">
        <v>70.93</v>
      </c>
      <c r="E6" s="2">
        <v>1.04</v>
      </c>
      <c r="F6" s="2">
        <v>0.048078387</v>
      </c>
      <c r="H6"/>
      <c r="I6"/>
      <c r="J6"/>
      <c r="K6"/>
      <c r="L6"/>
      <c r="M6"/>
    </row>
    <row r="7" spans="1:13">
      <c r="A7" s="1" t="s">
        <v>9</v>
      </c>
      <c r="B7" s="2">
        <v>215.59</v>
      </c>
      <c r="C7" s="2">
        <v>264.84</v>
      </c>
      <c r="D7" s="2">
        <v>80.18</v>
      </c>
      <c r="E7" s="2">
        <v>0.81</v>
      </c>
      <c r="F7" s="2">
        <v>0.054308376</v>
      </c>
      <c r="H7"/>
      <c r="I7"/>
      <c r="J7"/>
      <c r="K7"/>
      <c r="L7"/>
      <c r="M7"/>
    </row>
    <row r="8" spans="1:13">
      <c r="A8" s="1" t="s">
        <v>21</v>
      </c>
      <c r="B8" s="2">
        <v>229.04</v>
      </c>
      <c r="C8" s="2">
        <v>200.38</v>
      </c>
      <c r="D8" s="2">
        <v>80.4</v>
      </c>
      <c r="E8" s="2">
        <v>1.14</v>
      </c>
      <c r="F8" s="2">
        <v>0.057852029</v>
      </c>
      <c r="H8"/>
      <c r="I8"/>
      <c r="J8"/>
      <c r="K8"/>
      <c r="L8"/>
      <c r="M8"/>
    </row>
    <row r="9" spans="1:13">
      <c r="A9" s="1" t="s">
        <v>22</v>
      </c>
      <c r="B9" s="2">
        <v>208.52</v>
      </c>
      <c r="C9" s="2">
        <v>205.24</v>
      </c>
      <c r="D9" s="2">
        <v>96.24</v>
      </c>
      <c r="E9" s="2">
        <v>1.02</v>
      </c>
      <c r="F9" s="2">
        <v>0.063046247</v>
      </c>
      <c r="H9"/>
      <c r="I9"/>
      <c r="J9"/>
      <c r="K9"/>
      <c r="L9"/>
      <c r="M9"/>
    </row>
    <row r="10" spans="1:13">
      <c r="A10" s="1" t="s">
        <v>10</v>
      </c>
      <c r="B10" s="2">
        <v>438.11</v>
      </c>
      <c r="C10" s="2">
        <v>431.85</v>
      </c>
      <c r="D10" s="2">
        <v>154.81</v>
      </c>
      <c r="E10" s="2">
        <v>1.01</v>
      </c>
      <c r="F10" s="2">
        <v>0.213071168</v>
      </c>
      <c r="H10"/>
      <c r="I10"/>
      <c r="J10"/>
      <c r="K10"/>
      <c r="L10"/>
      <c r="M10"/>
    </row>
    <row r="11" spans="1:13">
      <c r="A11" s="1" t="s">
        <v>11</v>
      </c>
      <c r="B11" s="2">
        <v>288.52</v>
      </c>
      <c r="C11" s="2">
        <v>287.99</v>
      </c>
      <c r="D11" s="2">
        <v>107.38</v>
      </c>
      <c r="E11" s="2">
        <v>1</v>
      </c>
      <c r="F11" s="2">
        <v>0.097327583</v>
      </c>
      <c r="H11"/>
      <c r="I11"/>
      <c r="J11"/>
      <c r="K11"/>
      <c r="L11"/>
      <c r="M11"/>
    </row>
    <row r="12" spans="1:13">
      <c r="A12" s="1" t="s">
        <v>12</v>
      </c>
      <c r="B12" s="2">
        <v>480.5</v>
      </c>
      <c r="C12" s="2">
        <v>226.68</v>
      </c>
      <c r="D12" s="2">
        <v>127.98</v>
      </c>
      <c r="E12" s="2">
        <v>2.12</v>
      </c>
      <c r="F12" s="2">
        <v>0.193196332</v>
      </c>
      <c r="H12"/>
      <c r="I12"/>
      <c r="J12"/>
      <c r="K12"/>
      <c r="L12"/>
      <c r="M12"/>
    </row>
    <row r="13" spans="1:13">
      <c r="A13" s="1" t="s">
        <v>13</v>
      </c>
      <c r="B13" s="2">
        <v>465.26</v>
      </c>
      <c r="C13" s="2">
        <v>338.29</v>
      </c>
      <c r="D13" s="2">
        <v>126.74</v>
      </c>
      <c r="E13" s="2">
        <v>1.38</v>
      </c>
      <c r="F13" s="2">
        <v>0.1852488</v>
      </c>
      <c r="H13"/>
      <c r="I13"/>
      <c r="J13"/>
      <c r="K13"/>
      <c r="L13"/>
      <c r="M13"/>
    </row>
    <row r="14" spans="1:13">
      <c r="A14" s="1" t="s">
        <v>14</v>
      </c>
      <c r="B14" s="2">
        <v>365.02</v>
      </c>
      <c r="C14" s="2">
        <v>246.22</v>
      </c>
      <c r="D14" s="2">
        <v>110</v>
      </c>
      <c r="E14" s="2">
        <v>1.48</v>
      </c>
      <c r="F14" s="2">
        <v>0.12614619</v>
      </c>
      <c r="H14"/>
      <c r="I14"/>
      <c r="J14"/>
      <c r="K14"/>
      <c r="L14"/>
      <c r="M14"/>
    </row>
    <row r="15" spans="1:13">
      <c r="A15" s="1" t="s">
        <v>15</v>
      </c>
      <c r="B15" s="2">
        <v>344.04</v>
      </c>
      <c r="C15" s="2">
        <v>278.07</v>
      </c>
      <c r="D15" s="2">
        <v>123.85</v>
      </c>
      <c r="E15" s="2">
        <v>1.24</v>
      </c>
      <c r="F15" s="2">
        <v>0.133862491</v>
      </c>
      <c r="H15"/>
      <c r="I15"/>
      <c r="J15"/>
      <c r="K15"/>
      <c r="L15"/>
      <c r="M15"/>
    </row>
    <row r="16" spans="1:13">
      <c r="A16" s="1" t="s">
        <v>23</v>
      </c>
      <c r="B16" s="2">
        <v>438.83</v>
      </c>
      <c r="C16" s="2">
        <v>271.6</v>
      </c>
      <c r="D16" s="2">
        <v>112.61</v>
      </c>
      <c r="E16" s="2">
        <v>1.62</v>
      </c>
      <c r="F16" s="2">
        <v>0.155247662</v>
      </c>
      <c r="H16"/>
      <c r="I16"/>
      <c r="J16"/>
      <c r="K16"/>
      <c r="L16"/>
      <c r="M16"/>
    </row>
    <row r="17" spans="1:13">
      <c r="A17" s="1" t="s">
        <v>24</v>
      </c>
      <c r="B17" s="2">
        <v>392.73</v>
      </c>
      <c r="C17" s="2">
        <v>202.21</v>
      </c>
      <c r="D17" s="2">
        <v>120.06</v>
      </c>
      <c r="E17" s="2">
        <v>1.94</v>
      </c>
      <c r="F17" s="2">
        <v>0.148124375</v>
      </c>
      <c r="H17"/>
      <c r="I17"/>
      <c r="J17"/>
      <c r="K17"/>
      <c r="L17"/>
      <c r="M1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F1" sqref="F1"/>
    </sheetView>
  </sheetViews>
  <sheetFormatPr defaultColWidth="8.72727272727273" defaultRowHeight="14" outlineLevelCol="5"/>
  <cols>
    <col min="1" max="1" width="10" customWidth="1"/>
    <col min="2" max="2" width="20.2727272727273" customWidth="1"/>
    <col min="3" max="3" width="23" customWidth="1"/>
    <col min="4" max="4" width="21.8181818181818" customWidth="1"/>
    <col min="5" max="5" width="19.6363636363636" customWidth="1"/>
    <col min="6" max="6" width="20.9090909090909" customWidth="1"/>
  </cols>
  <sheetData>
    <row r="1" spans="1:6">
      <c r="A1" s="1" t="s">
        <v>0</v>
      </c>
      <c r="B1" s="4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s="1" t="s">
        <v>4</v>
      </c>
      <c r="B2" s="2">
        <v>24.44</v>
      </c>
      <c r="C2" s="2">
        <v>4.13</v>
      </c>
      <c r="D2" s="2">
        <v>3.44</v>
      </c>
      <c r="E2" s="1">
        <v>14.72</v>
      </c>
      <c r="F2" s="2">
        <v>21.44</v>
      </c>
    </row>
    <row r="3" spans="1:6">
      <c r="A3" s="1" t="s">
        <v>5</v>
      </c>
      <c r="B3" s="2">
        <v>24.94</v>
      </c>
      <c r="C3" s="2">
        <v>2.5</v>
      </c>
      <c r="D3" s="2">
        <v>3.1</v>
      </c>
      <c r="E3" s="1">
        <v>14.63</v>
      </c>
      <c r="F3" s="2">
        <v>19.25</v>
      </c>
    </row>
    <row r="4" spans="1:6">
      <c r="A4" s="1" t="s">
        <v>6</v>
      </c>
      <c r="B4" s="2">
        <v>22.75</v>
      </c>
      <c r="C4" s="2">
        <v>4.13</v>
      </c>
      <c r="D4" s="2">
        <v>3</v>
      </c>
      <c r="E4" s="1">
        <v>16.63</v>
      </c>
      <c r="F4" s="2">
        <v>22.31</v>
      </c>
    </row>
    <row r="5" spans="1:6">
      <c r="A5" s="1" t="s">
        <v>7</v>
      </c>
      <c r="B5" s="2">
        <v>23.13</v>
      </c>
      <c r="C5" s="2">
        <v>3.47</v>
      </c>
      <c r="D5" s="2">
        <v>3.53</v>
      </c>
      <c r="E5" s="1">
        <v>12.71</v>
      </c>
      <c r="F5" s="2">
        <v>22.76</v>
      </c>
    </row>
    <row r="6" spans="1:6">
      <c r="A6" s="1" t="s">
        <v>8</v>
      </c>
      <c r="B6" s="2">
        <v>20.16</v>
      </c>
      <c r="C6" s="2">
        <v>3.06</v>
      </c>
      <c r="D6" s="2">
        <v>3.13</v>
      </c>
      <c r="E6" s="1">
        <v>14.76</v>
      </c>
      <c r="F6" s="2">
        <v>21.18</v>
      </c>
    </row>
    <row r="7" spans="1:6">
      <c r="A7" s="1" t="s">
        <v>9</v>
      </c>
      <c r="B7" s="2">
        <v>20.82</v>
      </c>
      <c r="C7" s="2">
        <v>3.58</v>
      </c>
      <c r="D7" s="2">
        <v>3.53</v>
      </c>
      <c r="E7" s="1">
        <v>14.56</v>
      </c>
      <c r="F7" s="2">
        <v>26.56</v>
      </c>
    </row>
    <row r="8" spans="1:6">
      <c r="A8" s="1" t="s">
        <v>21</v>
      </c>
      <c r="B8" s="2">
        <v>24.26</v>
      </c>
      <c r="C8" s="2">
        <v>2.88</v>
      </c>
      <c r="D8" s="2">
        <v>2.71</v>
      </c>
      <c r="E8" s="1">
        <v>12.19</v>
      </c>
      <c r="F8" s="2">
        <v>20.5</v>
      </c>
    </row>
    <row r="9" spans="1:6">
      <c r="A9" s="1" t="s">
        <v>22</v>
      </c>
      <c r="B9" s="2">
        <v>21.94</v>
      </c>
      <c r="C9" s="2">
        <v>3.16</v>
      </c>
      <c r="D9" s="2">
        <v>3</v>
      </c>
      <c r="E9" s="1">
        <v>10.82</v>
      </c>
      <c r="F9" s="2">
        <v>20.18</v>
      </c>
    </row>
    <row r="10" spans="1:6">
      <c r="A10" s="1" t="s">
        <v>10</v>
      </c>
      <c r="B10" s="2">
        <v>30.64</v>
      </c>
      <c r="C10" s="2">
        <v>6.14</v>
      </c>
      <c r="D10" s="2">
        <v>5.64</v>
      </c>
      <c r="E10" s="1">
        <v>20.71</v>
      </c>
      <c r="F10" s="2">
        <v>32.36</v>
      </c>
    </row>
    <row r="11" spans="1:6">
      <c r="A11" s="1" t="s">
        <v>11</v>
      </c>
      <c r="B11" s="2">
        <v>27.8</v>
      </c>
      <c r="C11" s="2">
        <v>4.31</v>
      </c>
      <c r="D11" s="2">
        <v>3.81</v>
      </c>
      <c r="E11" s="1">
        <v>18.07</v>
      </c>
      <c r="F11" s="2">
        <v>28</v>
      </c>
    </row>
    <row r="12" spans="1:6">
      <c r="A12" s="1" t="s">
        <v>12</v>
      </c>
      <c r="B12" s="2">
        <v>22.6</v>
      </c>
      <c r="C12" s="2">
        <v>3.25</v>
      </c>
      <c r="D12" s="2">
        <v>3.69</v>
      </c>
      <c r="E12" s="1">
        <v>16.79</v>
      </c>
      <c r="F12" s="2">
        <v>25.93</v>
      </c>
    </row>
    <row r="13" spans="1:6">
      <c r="A13" s="1" t="s">
        <v>13</v>
      </c>
      <c r="B13" s="2">
        <v>32.5</v>
      </c>
      <c r="C13" s="2">
        <v>4.94</v>
      </c>
      <c r="D13" s="2">
        <v>4.67</v>
      </c>
      <c r="E13" s="1">
        <v>17.8</v>
      </c>
      <c r="F13" s="2">
        <v>29.2</v>
      </c>
    </row>
    <row r="14" spans="1:6">
      <c r="A14" s="1" t="s">
        <v>14</v>
      </c>
      <c r="B14" s="2">
        <v>28.75</v>
      </c>
      <c r="C14" s="2">
        <v>3.82</v>
      </c>
      <c r="D14" s="2">
        <v>4.53</v>
      </c>
      <c r="E14" s="1">
        <v>13.71</v>
      </c>
      <c r="F14" s="2">
        <v>24.71</v>
      </c>
    </row>
    <row r="15" spans="1:6">
      <c r="A15" s="1" t="s">
        <v>15</v>
      </c>
      <c r="B15" s="2">
        <v>34.56</v>
      </c>
      <c r="C15" s="2">
        <v>3.44</v>
      </c>
      <c r="D15" s="2">
        <v>4.25</v>
      </c>
      <c r="E15" s="1">
        <v>16.06</v>
      </c>
      <c r="F15" s="2">
        <v>27.71</v>
      </c>
    </row>
    <row r="16" spans="1:6">
      <c r="A16" s="1" t="s">
        <v>23</v>
      </c>
      <c r="B16" s="2">
        <v>29.88</v>
      </c>
      <c r="C16" s="2">
        <v>6.35</v>
      </c>
      <c r="D16" s="2">
        <v>6</v>
      </c>
      <c r="E16" s="1">
        <v>20.63</v>
      </c>
      <c r="F16" s="2">
        <v>31.25</v>
      </c>
    </row>
    <row r="17" spans="1:6">
      <c r="A17" s="1" t="s">
        <v>24</v>
      </c>
      <c r="B17" s="2">
        <v>27.47</v>
      </c>
      <c r="C17" s="2">
        <v>2.75</v>
      </c>
      <c r="D17" s="2">
        <v>3.94</v>
      </c>
      <c r="E17" s="1">
        <v>12.53</v>
      </c>
      <c r="F17" s="2">
        <v>25.13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opLeftCell="A10" workbookViewId="0">
      <selection activeCell="D15" sqref="D15"/>
    </sheetView>
  </sheetViews>
  <sheetFormatPr defaultColWidth="8.72727272727273" defaultRowHeight="14" outlineLevelCol="3"/>
  <cols>
    <col min="1" max="1" width="8.72727272727273" style="6"/>
    <col min="2" max="2" width="18.2727272727273" style="6" customWidth="1"/>
    <col min="3" max="3" width="19.4545454545455" style="6" customWidth="1"/>
    <col min="4" max="4" width="21.9090909090909" style="6" customWidth="1"/>
    <col min="5" max="16384" width="8.72727272727273" style="6"/>
  </cols>
  <sheetData>
    <row r="1" spans="1:4">
      <c r="A1" s="1" t="s">
        <v>0</v>
      </c>
      <c r="B1" s="4" t="s">
        <v>30</v>
      </c>
      <c r="C1" s="4" t="s">
        <v>31</v>
      </c>
      <c r="D1" s="4" t="s">
        <v>32</v>
      </c>
    </row>
    <row r="2" spans="1:4">
      <c r="A2" s="1" t="s">
        <v>4</v>
      </c>
      <c r="B2" s="2">
        <v>365.21</v>
      </c>
      <c r="C2" s="2">
        <v>170.01</v>
      </c>
      <c r="D2" s="2">
        <v>161.46</v>
      </c>
    </row>
    <row r="3" spans="1:4">
      <c r="A3" s="1" t="s">
        <v>5</v>
      </c>
      <c r="B3" s="2">
        <v>346.28</v>
      </c>
      <c r="C3" s="2">
        <v>136.2</v>
      </c>
      <c r="D3" s="2">
        <v>172.82</v>
      </c>
    </row>
    <row r="4" spans="1:4">
      <c r="A4" s="1" t="s">
        <v>6</v>
      </c>
      <c r="B4" s="2">
        <v>440.89</v>
      </c>
      <c r="C4" s="2">
        <v>98.96</v>
      </c>
      <c r="D4" s="2">
        <v>116.81</v>
      </c>
    </row>
    <row r="5" spans="1:4">
      <c r="A5" s="1" t="s">
        <v>7</v>
      </c>
      <c r="B5" s="2">
        <v>390.47</v>
      </c>
      <c r="C5" s="2">
        <v>151.7</v>
      </c>
      <c r="D5" s="2">
        <v>193.83</v>
      </c>
    </row>
    <row r="6" spans="1:4">
      <c r="A6" s="1" t="s">
        <v>8</v>
      </c>
      <c r="B6" s="2">
        <v>294.45</v>
      </c>
      <c r="C6" s="2">
        <v>141.61</v>
      </c>
      <c r="D6" s="2">
        <v>234.35</v>
      </c>
    </row>
    <row r="7" spans="1:4">
      <c r="A7" s="1" t="s">
        <v>9</v>
      </c>
      <c r="B7" s="2">
        <v>207.94</v>
      </c>
      <c r="C7" s="2">
        <v>46.16</v>
      </c>
      <c r="D7" s="2">
        <v>105.59</v>
      </c>
    </row>
    <row r="8" spans="1:4">
      <c r="A8" s="1" t="s">
        <v>21</v>
      </c>
      <c r="B8" s="2">
        <v>342.63</v>
      </c>
      <c r="C8" s="2">
        <v>57.97</v>
      </c>
      <c r="D8" s="2">
        <v>99.76</v>
      </c>
    </row>
    <row r="9" spans="1:4">
      <c r="A9" s="1" t="s">
        <v>22</v>
      </c>
      <c r="B9" s="2">
        <v>133.58</v>
      </c>
      <c r="C9" s="2">
        <v>41.52</v>
      </c>
      <c r="D9" s="2">
        <v>44.9</v>
      </c>
    </row>
    <row r="10" spans="1:4">
      <c r="A10" s="1" t="s">
        <v>10</v>
      </c>
      <c r="B10" s="2">
        <v>274.26</v>
      </c>
      <c r="C10" s="2">
        <v>154.22</v>
      </c>
      <c r="D10" s="2">
        <v>278.56</v>
      </c>
    </row>
    <row r="11" spans="1:4">
      <c r="A11" s="1" t="s">
        <v>11</v>
      </c>
      <c r="B11" s="2">
        <v>429.41</v>
      </c>
      <c r="C11" s="2">
        <v>94.71</v>
      </c>
      <c r="D11" s="2">
        <v>178.31</v>
      </c>
    </row>
    <row r="12" spans="1:4">
      <c r="A12" s="1" t="s">
        <v>12</v>
      </c>
      <c r="B12" s="2">
        <v>395.99</v>
      </c>
      <c r="C12" s="2">
        <v>163.04</v>
      </c>
      <c r="D12" s="2">
        <v>240.71</v>
      </c>
    </row>
    <row r="13" spans="1:4">
      <c r="A13" s="1" t="s">
        <v>13</v>
      </c>
      <c r="B13" s="2">
        <v>375.27</v>
      </c>
      <c r="C13" s="2">
        <v>166.39</v>
      </c>
      <c r="D13" s="2">
        <v>151.28</v>
      </c>
    </row>
    <row r="14" spans="1:4">
      <c r="A14" s="1" t="s">
        <v>14</v>
      </c>
      <c r="B14" s="2">
        <v>563.31</v>
      </c>
      <c r="C14" s="2">
        <v>157.25</v>
      </c>
      <c r="D14" s="2">
        <v>291.91</v>
      </c>
    </row>
    <row r="15" spans="1:4">
      <c r="A15" s="1" t="s">
        <v>15</v>
      </c>
      <c r="B15" s="2">
        <v>467.56</v>
      </c>
      <c r="C15" s="2">
        <v>197.4</v>
      </c>
      <c r="D15" s="2">
        <v>269.48</v>
      </c>
    </row>
    <row r="16" spans="1:4">
      <c r="A16" s="1" t="s">
        <v>23</v>
      </c>
      <c r="B16" s="2">
        <v>629.48</v>
      </c>
      <c r="C16" s="2">
        <v>103.72</v>
      </c>
      <c r="D16" s="2">
        <v>196.52</v>
      </c>
    </row>
    <row r="17" spans="1:4">
      <c r="A17" s="1" t="s">
        <v>24</v>
      </c>
      <c r="B17" s="2">
        <v>432.99</v>
      </c>
      <c r="C17" s="2">
        <v>114.51</v>
      </c>
      <c r="D17" s="2">
        <v>163.44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workbookViewId="0">
      <selection activeCell="F20" sqref="F20"/>
    </sheetView>
  </sheetViews>
  <sheetFormatPr defaultColWidth="8.72727272727273" defaultRowHeight="14"/>
  <cols>
    <col min="2" max="2" width="10.3636363636364" style="3" customWidth="1"/>
    <col min="3" max="3" width="10.6363636363636" style="3" customWidth="1"/>
    <col min="4" max="4" width="10.7272727272727" style="3" customWidth="1"/>
    <col min="5" max="5" width="10.2727272727273" style="3" customWidth="1"/>
    <col min="6" max="6" width="10.9090909090909" style="3" customWidth="1"/>
    <col min="7" max="7" width="10.8181818181818" style="3" customWidth="1"/>
    <col min="8" max="8" width="8.72727272727273" style="3"/>
  </cols>
  <sheetData>
    <row r="1" spans="1:15">
      <c r="A1" s="1" t="s">
        <v>0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43</v>
      </c>
      <c r="M1" s="4" t="s">
        <v>44</v>
      </c>
      <c r="N1" s="5" t="s">
        <v>45</v>
      </c>
      <c r="O1" s="5" t="s">
        <v>46</v>
      </c>
    </row>
    <row r="2" spans="1:15">
      <c r="A2" s="1" t="s">
        <v>4</v>
      </c>
      <c r="B2" s="4">
        <v>0.421263870317172</v>
      </c>
      <c r="C2" s="4">
        <v>1.1</v>
      </c>
      <c r="D2" s="4">
        <v>1.37153679316373</v>
      </c>
      <c r="E2" s="4">
        <v>0.7071460556659</v>
      </c>
      <c r="F2" s="4">
        <v>1.356789</v>
      </c>
      <c r="G2" s="4">
        <v>0.616897443531569</v>
      </c>
      <c r="H2" s="4">
        <v>0.827231178254713</v>
      </c>
      <c r="I2" s="4">
        <v>0.386145509130922</v>
      </c>
      <c r="J2" s="4">
        <v>1.31434868907787</v>
      </c>
      <c r="K2" s="4">
        <v>0.924766763973382</v>
      </c>
      <c r="L2" s="4">
        <v>0.79624175686316</v>
      </c>
      <c r="M2" s="4">
        <v>0.89448705422931</v>
      </c>
      <c r="N2" s="4">
        <v>0.67642342</v>
      </c>
      <c r="O2" s="4">
        <v>0.89</v>
      </c>
    </row>
    <row r="3" spans="1:15">
      <c r="A3" s="1" t="s">
        <v>5</v>
      </c>
      <c r="B3" s="4">
        <v>0.627272099289981</v>
      </c>
      <c r="C3" s="4">
        <v>0.804229591008784</v>
      </c>
      <c r="D3" s="4">
        <v>0.540350992334382</v>
      </c>
      <c r="E3" s="4">
        <v>0.612216075345026</v>
      </c>
      <c r="F3" s="4">
        <v>0.497622851980625</v>
      </c>
      <c r="G3" s="4">
        <v>0.919540591603451</v>
      </c>
      <c r="H3" s="4">
        <v>0.151626077736723</v>
      </c>
      <c r="I3" s="4">
        <v>0.307925578190499</v>
      </c>
      <c r="J3" s="4">
        <v>0.0845047805938899</v>
      </c>
      <c r="K3" s="4">
        <v>0.34132454942214</v>
      </c>
      <c r="L3" s="4">
        <v>0.785454887023981</v>
      </c>
      <c r="M3" s="4">
        <v>1.25889334569698</v>
      </c>
      <c r="N3" s="4">
        <v>1.11656432</v>
      </c>
      <c r="O3" s="4">
        <v>1.23</v>
      </c>
    </row>
    <row r="4" spans="1:15">
      <c r="A4" s="1" t="s">
        <v>6</v>
      </c>
      <c r="B4" s="4">
        <v>0.466644857917016</v>
      </c>
      <c r="C4" s="4">
        <v>0.868802180828763</v>
      </c>
      <c r="D4" s="4">
        <v>0.740223359237312</v>
      </c>
      <c r="E4" s="4">
        <v>0.871198912957992</v>
      </c>
      <c r="F4" s="4">
        <v>0.878923122260522</v>
      </c>
      <c r="G4" s="4">
        <v>0.963708904244752</v>
      </c>
      <c r="H4" s="4">
        <v>0.972326850683393</v>
      </c>
      <c r="I4" s="4">
        <v>0.520042294283579</v>
      </c>
      <c r="J4" s="4">
        <v>1.62309905995133</v>
      </c>
      <c r="K4" s="4">
        <v>0.944663218702118</v>
      </c>
      <c r="L4" s="4">
        <v>0.711876238170885</v>
      </c>
      <c r="M4" s="4">
        <v>1.35063943505432</v>
      </c>
      <c r="N4" s="4">
        <v>0.566543</v>
      </c>
      <c r="O4" s="4">
        <v>0.76</v>
      </c>
    </row>
    <row r="5" spans="1:15">
      <c r="A5" s="1" t="s">
        <v>7</v>
      </c>
      <c r="B5" s="4">
        <v>0.757816862343147</v>
      </c>
      <c r="C5" s="4">
        <v>0.888425737458481</v>
      </c>
      <c r="D5" s="4">
        <v>1.02228642998034</v>
      </c>
      <c r="E5" s="4">
        <v>1.15710764906455</v>
      </c>
      <c r="F5" s="4">
        <v>0.78027711868576</v>
      </c>
      <c r="G5" s="4">
        <v>0.358840313547981</v>
      </c>
      <c r="H5" s="4">
        <v>0.217627683095036</v>
      </c>
      <c r="I5" s="4">
        <v>0.410547256540726</v>
      </c>
      <c r="J5" s="4">
        <v>0.123992332493254</v>
      </c>
      <c r="K5" s="4">
        <v>0.665324725376234</v>
      </c>
      <c r="L5" s="4">
        <v>0.370301898633811</v>
      </c>
      <c r="M5" s="4">
        <v>0.589730318527495</v>
      </c>
      <c r="N5" s="4">
        <v>1.16</v>
      </c>
      <c r="O5" s="4">
        <v>1.31</v>
      </c>
    </row>
    <row r="6" spans="1:15">
      <c r="A6" s="1" t="s">
        <v>8</v>
      </c>
      <c r="B6" s="4">
        <v>0.945755426508353</v>
      </c>
      <c r="C6" s="4">
        <v>1.44175270217241</v>
      </c>
      <c r="D6" s="4">
        <v>0.701553365229517</v>
      </c>
      <c r="E6" s="4">
        <v>0.581864109036549</v>
      </c>
      <c r="F6" s="4">
        <v>0.379107629917331</v>
      </c>
      <c r="G6" s="4">
        <v>1.00129674734326</v>
      </c>
      <c r="H6" s="4">
        <v>0.906354624693976</v>
      </c>
      <c r="I6" s="4"/>
      <c r="J6" s="4">
        <v>0.973223677233465</v>
      </c>
      <c r="K6" s="4">
        <v>0.820632765264769</v>
      </c>
      <c r="L6" s="4">
        <v>1.73639289462476</v>
      </c>
      <c r="M6" s="4"/>
      <c r="N6" s="4">
        <v>1.41</v>
      </c>
      <c r="O6" s="4">
        <v>1.61</v>
      </c>
    </row>
    <row r="7" spans="1:15">
      <c r="A7" s="1" t="s">
        <v>9</v>
      </c>
      <c r="B7" s="4">
        <v>0.696599078145077</v>
      </c>
      <c r="C7" s="4">
        <v>0.779417355373498</v>
      </c>
      <c r="D7" s="4">
        <v>0.5332250450248</v>
      </c>
      <c r="E7" s="4">
        <v>0.637662825703467</v>
      </c>
      <c r="F7" s="4">
        <v>1.26094624501548</v>
      </c>
      <c r="G7" s="4">
        <v>0.629305837714954</v>
      </c>
      <c r="H7" s="4"/>
      <c r="I7" s="4">
        <v>0.595709527202588</v>
      </c>
      <c r="J7" s="4">
        <v>0.639368282539035</v>
      </c>
      <c r="K7" s="4">
        <v>1.07941291714681</v>
      </c>
      <c r="L7" s="4">
        <v>0.875233783022831</v>
      </c>
      <c r="M7" s="4">
        <v>1.50137945972845</v>
      </c>
      <c r="N7" s="4">
        <v>1.18</v>
      </c>
      <c r="O7" s="4">
        <v>0.87</v>
      </c>
    </row>
    <row r="8" spans="1:15">
      <c r="A8" s="1" t="s">
        <v>21</v>
      </c>
      <c r="B8" s="4">
        <v>0.598136603298842</v>
      </c>
      <c r="C8" s="4">
        <v>0.787600719181326</v>
      </c>
      <c r="D8" s="4">
        <v>0.877245000882792</v>
      </c>
      <c r="E8" s="4">
        <v>1.16083483473415</v>
      </c>
      <c r="F8" s="4">
        <v>1.04529518260754</v>
      </c>
      <c r="G8" s="4">
        <v>0.878769916130466</v>
      </c>
      <c r="H8" s="4">
        <v>1.08774545596902</v>
      </c>
      <c r="I8" s="4">
        <v>0.961606874809188</v>
      </c>
      <c r="J8" s="4">
        <v>2.84711745947371</v>
      </c>
      <c r="K8" s="4">
        <v>1.00696006417839</v>
      </c>
      <c r="L8" s="4">
        <v>1.9917015877131</v>
      </c>
      <c r="M8" s="4">
        <v>1.14174729393306</v>
      </c>
      <c r="N8" s="4">
        <v>1.07</v>
      </c>
      <c r="O8" s="4">
        <v>1.22</v>
      </c>
    </row>
    <row r="9" spans="1:15">
      <c r="A9" s="1" t="s">
        <v>22</v>
      </c>
      <c r="B9" s="4">
        <v>0.90825423412222</v>
      </c>
      <c r="C9" s="4">
        <v>1.14363352248141</v>
      </c>
      <c r="D9" s="4">
        <v>1.54211911756687</v>
      </c>
      <c r="E9" s="4">
        <v>1.0890676397279</v>
      </c>
      <c r="F9" s="4">
        <v>0.232774717129465</v>
      </c>
      <c r="G9" s="4">
        <v>0.640476690117016</v>
      </c>
      <c r="H9" s="4">
        <v>1.65539004041015</v>
      </c>
      <c r="I9" s="4">
        <v>0.851197727366921</v>
      </c>
      <c r="J9" s="4">
        <v>1.46502521267521</v>
      </c>
      <c r="K9" s="4">
        <v>1.06054722666338</v>
      </c>
      <c r="L9" s="4">
        <v>0.621543715306285</v>
      </c>
      <c r="M9" s="4">
        <v>0.617395745402519</v>
      </c>
      <c r="N9" s="4">
        <v>1.03</v>
      </c>
      <c r="O9" s="4">
        <v>0.94</v>
      </c>
    </row>
    <row r="10" spans="1:15">
      <c r="A10" s="1" t="s">
        <v>10</v>
      </c>
      <c r="B10" s="4">
        <v>0.6314193937678</v>
      </c>
      <c r="C10" s="4">
        <v>1.20874847713848</v>
      </c>
      <c r="D10" s="4">
        <v>1.19115524710426</v>
      </c>
      <c r="E10" s="4">
        <v>1.5030289032513</v>
      </c>
      <c r="F10" s="4">
        <v>1.1112907426882</v>
      </c>
      <c r="G10" s="4">
        <v>1.24040750356094</v>
      </c>
      <c r="H10" s="4">
        <v>0.807486186500892</v>
      </c>
      <c r="I10" s="4">
        <v>1.45202477492842</v>
      </c>
      <c r="J10" s="4">
        <v>3.38465839940509</v>
      </c>
      <c r="K10" s="4">
        <v>1.02273076003703</v>
      </c>
      <c r="L10" s="4">
        <v>0.896084317660475</v>
      </c>
      <c r="M10" s="4">
        <v>1.33002976460282</v>
      </c>
      <c r="N10" s="4">
        <v>0.99</v>
      </c>
      <c r="O10" s="4">
        <v>0.56</v>
      </c>
    </row>
    <row r="11" spans="1:15">
      <c r="A11" s="1" t="s">
        <v>11</v>
      </c>
      <c r="B11" s="4">
        <v>1.65388318251518</v>
      </c>
      <c r="C11" s="4">
        <v>1.52217737721705</v>
      </c>
      <c r="D11" s="4">
        <v>0.668688446576523</v>
      </c>
      <c r="E11" s="4">
        <v>0.870905818530025</v>
      </c>
      <c r="F11" s="4">
        <v>0.8211677003137</v>
      </c>
      <c r="G11" s="4">
        <v>0.948269570380669</v>
      </c>
      <c r="H11" s="4">
        <v>0.610849757116729</v>
      </c>
      <c r="I11" s="4">
        <v>1.02235333328179</v>
      </c>
      <c r="J11" s="4">
        <v>0.866950117441613</v>
      </c>
      <c r="K11" s="4">
        <v>0.660099806806566</v>
      </c>
      <c r="L11" s="4">
        <v>0.764483975387029</v>
      </c>
      <c r="M11" s="4">
        <v>0.735209952007155</v>
      </c>
      <c r="N11" s="4">
        <v>1.23</v>
      </c>
      <c r="O11" s="4">
        <v>1.35</v>
      </c>
    </row>
    <row r="12" spans="1:15">
      <c r="A12" s="1" t="s">
        <v>12</v>
      </c>
      <c r="B12" s="4">
        <v>0.962437454842204</v>
      </c>
      <c r="C12" s="4">
        <v>1.22025641308257</v>
      </c>
      <c r="D12" s="4">
        <v>0.863920701644413</v>
      </c>
      <c r="E12" s="4">
        <v>0.689135959201097</v>
      </c>
      <c r="F12" s="4">
        <v>1.13871280903665</v>
      </c>
      <c r="G12" s="4">
        <v>1.65921902303181</v>
      </c>
      <c r="H12" s="4">
        <v>1.56497578782002</v>
      </c>
      <c r="I12" s="4">
        <v>0.814742345589984</v>
      </c>
      <c r="J12" s="4">
        <v>2.68404495087577</v>
      </c>
      <c r="K12" s="4">
        <v>1.7262663459727</v>
      </c>
      <c r="L12" s="4">
        <v>1.90342689184694</v>
      </c>
      <c r="M12" s="4">
        <v>2.49145608280898</v>
      </c>
      <c r="N12" s="4">
        <v>0.76</v>
      </c>
      <c r="O12" s="4">
        <v>0.89</v>
      </c>
    </row>
    <row r="13" spans="1:15">
      <c r="A13" s="1" t="s">
        <v>13</v>
      </c>
      <c r="B13" s="4">
        <v>0.548891495192909</v>
      </c>
      <c r="C13" s="4">
        <v>1.24782830699415</v>
      </c>
      <c r="D13" s="4">
        <v>2.08297012675329</v>
      </c>
      <c r="E13" s="4">
        <v>0.825154396320463</v>
      </c>
      <c r="F13" s="4">
        <v>0.897109388170787</v>
      </c>
      <c r="G13" s="4">
        <v>0.993558228543291</v>
      </c>
      <c r="H13" s="4">
        <v>0.707689547746214</v>
      </c>
      <c r="I13" s="4">
        <v>0.722119505855713</v>
      </c>
      <c r="J13" s="4">
        <v>0.767857779022255</v>
      </c>
      <c r="K13" s="4">
        <v>1.41953335717798</v>
      </c>
      <c r="L13" s="4">
        <v>0.730147900805054</v>
      </c>
      <c r="M13" s="4">
        <v>0.958793790437551</v>
      </c>
      <c r="N13" s="4">
        <v>1.61</v>
      </c>
      <c r="O13" s="4">
        <v>1.03</v>
      </c>
    </row>
    <row r="14" spans="1:15">
      <c r="A14" s="1" t="s">
        <v>14</v>
      </c>
      <c r="B14" s="4">
        <v>1.36803705721593</v>
      </c>
      <c r="C14" s="4">
        <v>1.03818017198576</v>
      </c>
      <c r="D14" s="4">
        <v>1.84767848673059</v>
      </c>
      <c r="E14" s="4">
        <v>1.53462674687331</v>
      </c>
      <c r="F14" s="4">
        <v>1.30913217492473</v>
      </c>
      <c r="G14" s="4">
        <v>1.53132218364291</v>
      </c>
      <c r="H14" s="4">
        <v>0.827698667791481</v>
      </c>
      <c r="I14" s="4">
        <v>1.7545415645077</v>
      </c>
      <c r="J14" s="4">
        <v>2.59643851957394</v>
      </c>
      <c r="K14" s="4">
        <v>0.834604469152222</v>
      </c>
      <c r="L14" s="4">
        <v>1.47518710131995</v>
      </c>
      <c r="M14" s="4">
        <v>0.830984702862043</v>
      </c>
      <c r="N14" s="4">
        <v>1.61</v>
      </c>
      <c r="O14" s="4">
        <v>1.01</v>
      </c>
    </row>
    <row r="15" spans="1:15">
      <c r="A15" s="1" t="s">
        <v>15</v>
      </c>
      <c r="B15" s="4">
        <v>1.11196439018514</v>
      </c>
      <c r="C15" s="4">
        <v>0.864880552077142</v>
      </c>
      <c r="D15" s="4">
        <v>1.55331671026985</v>
      </c>
      <c r="E15" s="4">
        <v>1.63822085487264</v>
      </c>
      <c r="F15" s="4">
        <v>1.65956822523708</v>
      </c>
      <c r="G15" s="4">
        <v>0.764765595105178</v>
      </c>
      <c r="H15" s="4">
        <v>1.20179858745611</v>
      </c>
      <c r="I15" s="4">
        <f>2^(-H15)</f>
        <v>0.434732968242267</v>
      </c>
      <c r="J15" s="4">
        <v>0.186385382320584</v>
      </c>
      <c r="K15" s="4">
        <v>0.691953511584688</v>
      </c>
      <c r="L15" s="4">
        <v>0.339712102458012</v>
      </c>
      <c r="M15" s="4">
        <v>0.3728077184768</v>
      </c>
      <c r="N15" s="4">
        <v>0.87</v>
      </c>
      <c r="O15" s="4">
        <v>1.21</v>
      </c>
    </row>
    <row r="16" spans="1:15">
      <c r="A16" s="1" t="s">
        <v>23</v>
      </c>
      <c r="B16" s="4">
        <v>1.15442252097427</v>
      </c>
      <c r="C16" s="4">
        <v>1.29576862246327</v>
      </c>
      <c r="D16" s="4">
        <v>1.51736142339625</v>
      </c>
      <c r="E16" s="4">
        <v>0.637248260317786</v>
      </c>
      <c r="F16" s="4">
        <v>0.978107514099343</v>
      </c>
      <c r="G16" s="4">
        <v>0.677533015670915</v>
      </c>
      <c r="H16" s="4">
        <v>1.254516831988</v>
      </c>
      <c r="I16" s="4">
        <v>0.415319892022893</v>
      </c>
      <c r="J16" s="4">
        <v>2.75063258980126</v>
      </c>
      <c r="K16" s="4">
        <v>0.970043911588752</v>
      </c>
      <c r="L16" s="4">
        <v>2.3168020729299</v>
      </c>
      <c r="M16" s="4">
        <v>1.78675657443721</v>
      </c>
      <c r="N16" s="4">
        <v>1.22</v>
      </c>
      <c r="O16" s="4">
        <v>1.46</v>
      </c>
    </row>
    <row r="17" spans="1:15">
      <c r="A17" s="1" t="s">
        <v>24</v>
      </c>
      <c r="B17" s="4">
        <v>1.52177766576885</v>
      </c>
      <c r="C17" s="4">
        <v>0.86422221</v>
      </c>
      <c r="D17" s="4">
        <v>1.7404616042002</v>
      </c>
      <c r="E17" s="4">
        <v>0.869859215708867</v>
      </c>
      <c r="F17" s="4">
        <v>1.556789</v>
      </c>
      <c r="G17" s="4">
        <v>0.939615450980779</v>
      </c>
      <c r="H17" s="4">
        <v>1.46689710187064</v>
      </c>
      <c r="I17" s="4">
        <v>0.84282775356859</v>
      </c>
      <c r="J17" s="4">
        <v>0.124221851148851</v>
      </c>
      <c r="K17" s="4">
        <v>1.07901293793661</v>
      </c>
      <c r="L17" s="4">
        <v>0.904666766217467</v>
      </c>
      <c r="M17" s="4">
        <v>0.773402373653297</v>
      </c>
      <c r="N17" s="4">
        <v>0.94</v>
      </c>
      <c r="O17" s="4">
        <v>0.73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K19" sqref="K19"/>
    </sheetView>
  </sheetViews>
  <sheetFormatPr defaultColWidth="8.72727272727273" defaultRowHeight="14" outlineLevelCol="2"/>
  <cols>
    <col min="1" max="1" width="9.63636363636364" customWidth="1"/>
    <col min="2" max="2" width="19.1818181818182" customWidth="1"/>
    <col min="3" max="3" width="19" customWidth="1"/>
  </cols>
  <sheetData>
    <row r="1" spans="1:3">
      <c r="A1" s="1" t="s">
        <v>0</v>
      </c>
      <c r="B1" s="1" t="s">
        <v>47</v>
      </c>
      <c r="C1" s="1" t="s">
        <v>48</v>
      </c>
    </row>
    <row r="2" spans="1:3">
      <c r="A2" s="1" t="s">
        <v>4</v>
      </c>
      <c r="B2" s="2">
        <v>80.25</v>
      </c>
      <c r="C2" s="2">
        <v>74.41</v>
      </c>
    </row>
    <row r="3" spans="1:3">
      <c r="A3" s="1" t="s">
        <v>5</v>
      </c>
      <c r="B3" s="2">
        <v>78.54</v>
      </c>
      <c r="C3" s="2">
        <v>71.22</v>
      </c>
    </row>
    <row r="4" spans="1:3">
      <c r="A4" s="1" t="s">
        <v>6</v>
      </c>
      <c r="B4" s="2">
        <v>83.01</v>
      </c>
      <c r="C4" s="2">
        <v>79.24</v>
      </c>
    </row>
    <row r="5" spans="1:3">
      <c r="A5" s="1" t="s">
        <v>7</v>
      </c>
      <c r="B5" s="2">
        <v>79.79</v>
      </c>
      <c r="C5" s="2">
        <v>76.64</v>
      </c>
    </row>
    <row r="6" spans="1:3">
      <c r="A6" s="1" t="s">
        <v>8</v>
      </c>
      <c r="B6" s="2">
        <v>83.71</v>
      </c>
      <c r="C6" s="2">
        <v>79.25</v>
      </c>
    </row>
    <row r="7" spans="1:3">
      <c r="A7" s="1" t="s">
        <v>9</v>
      </c>
      <c r="B7" s="2">
        <v>81.94</v>
      </c>
      <c r="C7" s="2">
        <v>78.29</v>
      </c>
    </row>
    <row r="8" spans="1:3">
      <c r="A8" s="1" t="s">
        <v>49</v>
      </c>
      <c r="B8" s="2">
        <v>86.25</v>
      </c>
      <c r="C8" s="2">
        <v>83.81</v>
      </c>
    </row>
    <row r="9" spans="1:3">
      <c r="A9" s="1" t="s">
        <v>50</v>
      </c>
      <c r="B9" s="2">
        <v>87.89</v>
      </c>
      <c r="C9" s="2">
        <v>86.1</v>
      </c>
    </row>
    <row r="10" spans="1:3">
      <c r="A10" s="1" t="s">
        <v>51</v>
      </c>
      <c r="B10" s="2">
        <v>85.43</v>
      </c>
      <c r="C10" s="2">
        <v>80.99</v>
      </c>
    </row>
    <row r="11" spans="1:3">
      <c r="A11" s="1" t="s">
        <v>52</v>
      </c>
      <c r="B11" s="2">
        <v>83.51</v>
      </c>
      <c r="C11" s="2">
        <v>80.23</v>
      </c>
    </row>
    <row r="12" spans="1:3">
      <c r="A12" s="1" t="s">
        <v>53</v>
      </c>
      <c r="B12" s="2">
        <v>80.11</v>
      </c>
      <c r="C12" s="2">
        <v>75.16</v>
      </c>
    </row>
    <row r="13" spans="1:3">
      <c r="A13" s="1" t="s">
        <v>54</v>
      </c>
      <c r="B13" s="2">
        <v>86.08</v>
      </c>
      <c r="C13" s="2">
        <v>82.58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Primary organoids</vt:lpstr>
      <vt:lpstr>Intestinal morphology</vt:lpstr>
      <vt:lpstr>Number of cells</vt:lpstr>
      <vt:lpstr>Brush enzyme activity</vt:lpstr>
      <vt:lpstr>Gene expression</vt:lpstr>
      <vt:lpstr>Digestibility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ww</cp:lastModifiedBy>
  <dcterms:created xsi:type="dcterms:W3CDTF">2025-12-05T11:58:00Z</dcterms:created>
  <dcterms:modified xsi:type="dcterms:W3CDTF">2025-12-06T09:55:54Z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F909BFC256F14325B952B5F2FD7D1BE3_11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