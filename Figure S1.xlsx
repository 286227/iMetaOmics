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iMetaOmics原始数据\"/>
    </mc:Choice>
  </mc:AlternateContent>
  <xr:revisionPtr revIDLastSave="0" documentId="13_ncr:1_{1712EB22-137D-4DC3-AD29-25BAC14A619A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organ index" sheetId="1" r:id="rId1"/>
    <sheet name="Duodenum morphology  " sheetId="2" r:id="rId2"/>
    <sheet name="Jejunum morphology  " sheetId="5" r:id="rId3"/>
    <sheet name="Ileum morphology 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4" l="1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</calcChain>
</file>

<file path=xl/sharedStrings.xml><?xml version="1.0" encoding="utf-8"?>
<sst xmlns="http://schemas.openxmlformats.org/spreadsheetml/2006/main" count="601" uniqueCount="86">
  <si>
    <t>Sample</t>
  </si>
  <si>
    <t>Breed</t>
  </si>
  <si>
    <t>Age</t>
  </si>
  <si>
    <t>Small intestine length,cm</t>
  </si>
  <si>
    <t>Small intestine weight,kg</t>
  </si>
  <si>
    <t>Small intestine relative length index</t>
  </si>
  <si>
    <t>Small intestine relative weight index</t>
  </si>
  <si>
    <t>A1</t>
  </si>
  <si>
    <t>Shaziling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</si>
  <si>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</si>
  <si>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</si>
  <si>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</si>
  <si>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</si>
  <si>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</si>
  <si>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</si>
  <si>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</si>
  <si>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</si>
  <si>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</si>
  <si>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</si>
  <si>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</si>
  <si>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J1</t>
  </si>
  <si>
    <t>J2</t>
  </si>
  <si>
    <t>J3</t>
  </si>
  <si>
    <t>J4</t>
  </si>
  <si>
    <t>J5</t>
  </si>
  <si>
    <t>J6</t>
  </si>
  <si>
    <t>K1</t>
  </si>
  <si>
    <t>K2</t>
  </si>
  <si>
    <t>K3</t>
  </si>
  <si>
    <t>K4</t>
  </si>
  <si>
    <t>K5</t>
  </si>
  <si>
    <t>K6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</si>
  <si>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</si>
  <si>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</si>
  <si>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</si>
  <si>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</si>
  <si>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</si>
  <si>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</si>
  <si>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</si>
  <si>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</si>
  <si>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</si>
  <si>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</si>
  <si>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</si>
  <si>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</si>
  <si>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I1</t>
  </si>
  <si>
    <t>Yorkshire</t>
  </si>
  <si>
    <t>I2</t>
  </si>
  <si>
    <t>I3</t>
  </si>
  <si>
    <t>I4</t>
  </si>
  <si>
    <t>I5</t>
  </si>
  <si>
    <t>I6</t>
  </si>
  <si>
    <t>H1</t>
  </si>
  <si>
    <t>H2</t>
  </si>
  <si>
    <t>H3</t>
  </si>
  <si>
    <t>H4</t>
  </si>
  <si>
    <t>H5</t>
  </si>
  <si>
    <t>H6</t>
  </si>
  <si>
    <t>G1</t>
  </si>
  <si>
    <t>G2</t>
  </si>
  <si>
    <t>G3</t>
  </si>
  <si>
    <t>G4</t>
  </si>
  <si>
    <t>G5</t>
  </si>
  <si>
    <t>G6</t>
  </si>
  <si>
    <t>F1</t>
  </si>
  <si>
    <t>F2</t>
  </si>
  <si>
    <t>F3</t>
  </si>
  <si>
    <t>F4</t>
  </si>
  <si>
    <t>F5</t>
  </si>
  <si>
    <t>F6</t>
  </si>
  <si>
    <t>L1</t>
  </si>
  <si>
    <t>L2</t>
  </si>
  <si>
    <t>L3</t>
  </si>
  <si>
    <t>L4</t>
  </si>
  <si>
    <t>L5</t>
  </si>
  <si>
    <t>L6</t>
  </si>
  <si>
    <t>E1</t>
  </si>
  <si>
    <t>E2</t>
  </si>
  <si>
    <t>E3</t>
  </si>
  <si>
    <t>E4</t>
  </si>
  <si>
    <t>E5</t>
  </si>
  <si>
    <t>E6</t>
  </si>
  <si>
    <t>Villus height,µm</t>
  </si>
  <si>
    <t>Crypt depth,µm</t>
  </si>
  <si>
    <t>Villus width,µm</t>
  </si>
  <si>
    <t>VH:CD</t>
  </si>
  <si>
    <r>
      <rPr>
        <sz val="11"/>
        <color theme="1"/>
        <rFont val="Times New Roman"/>
        <family val="1"/>
      </rPr>
      <t>Vills surface area,µm</t>
    </r>
    <r>
      <rPr>
        <vertAlign val="superscript"/>
        <sz val="11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</si>
</sst>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8" formatCode="0.00_ "/>
    <numFmt numFmtId="179" formatCode="0.000_ "/>
    <numFmt numFmtId="180" formatCode="0.00_);[Red]\(0.00\)"/>
    <numFmt numFmtId="181" formatCode="0.0000_ "/>
    <numFmt numFmtId="182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/>
    </xf>
    <xf numFmtId="18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Y73"/>
  <sheetViews>
    <sheetView workbookViewId="0">
      <selection activeCell="G8" sqref="G8"/>
    </sheetView>
  </sheetViews>
  <sheetFormatPr defaultColWidth="8.7265625" defaultRowHeight="14" x14ac:dyDescent="0.3"/>
  <cols>
    <col min="1" max="1" width="8.7265625" style="2"/>
    <col min="2" max="2" width="10.6328125" style="2" customWidth="1"/>
    <col min="3" max="3" width="8.7265625" style="2"/>
    <col min="4" max="4" width="21.6328125" style="10" customWidth="1"/>
    <col min="5" max="5" width="25.36328125" style="10" customWidth="1"/>
    <col min="6" max="6" width="17.7265625" style="10" customWidth="1"/>
    <col min="7" max="7" width="17.26953125" style="10" customWidth="1"/>
    <col min="8" max="16379" width="8.7265625" style="9"/>
    <col min="16380" max="16384" width="8.7265625" style="1"/>
  </cols>
  <sheetData>
    <row r="1" spans="1:7" s="9" customFormat="1" ht="28" x14ac:dyDescent="0.3">
      <c r="A1" s="4" t="s">
        <v>0</v>
      </c>
      <c r="B1" s="4" t="s">
        <v>1</v>
      </c>
      <c r="C1" s="4" t="s">
        <v>2</v>
      </c>
      <c r="D1" s="11" t="s">
        <v>3</v>
      </c>
      <c r="E1" s="11" t="s">
        <v>4</v>
      </c>
      <c r="F1" s="12" t="s">
        <v>5</v>
      </c>
      <c r="G1" s="12" t="s">
        <v>6</v>
      </c>
    </row>
    <row r="2" spans="1:7" s="9" customFormat="1" x14ac:dyDescent="0.3">
      <c r="A2" s="4" t="s">
        <v>7</v>
      </c>
      <c r="B2" s="4" t="s">
        <v>8</v>
      </c>
      <c r="C2" s="4">
        <v>30</v>
      </c>
      <c r="D2" s="4">
        <v>1036</v>
      </c>
      <c r="E2" s="5">
        <v>0.219027484143763</v>
      </c>
      <c r="F2" s="13">
        <v>1.7266666666666699</v>
      </c>
      <c r="G2" s="13">
        <v>3.6504580690627203E-2</v>
      </c>
    </row>
    <row r="3" spans="1:7" s="9" customFormat="1" x14ac:dyDescent="0.3">
      <c r="A3" s="4" t="s">
        <v>9</v>
      </c>
      <c r="B3" s="4" t="s">
        <v>8</v>
      </c>
      <c r="C3" s="4">
        <v>30</v>
      </c>
      <c r="D3" s="4">
        <v>580</v>
      </c>
      <c r="E3" s="5">
        <v>0.16916666666666699</v>
      </c>
      <c r="F3" s="13">
        <v>0.96666666666666701</v>
      </c>
      <c r="G3" s="13">
        <v>2.81944444444444E-2</v>
      </c>
    </row>
    <row r="4" spans="1:7" s="9" customFormat="1" x14ac:dyDescent="0.3">
      <c r="A4" s="4" t="s">
        <v>10</v>
      </c>
      <c r="B4" s="4" t="s">
        <v>8</v>
      </c>
      <c r="C4" s="4">
        <v>30</v>
      </c>
      <c r="D4" s="4">
        <v>630</v>
      </c>
      <c r="E4" s="5">
        <v>0.225849056603774</v>
      </c>
      <c r="F4" s="13">
        <v>0.9</v>
      </c>
      <c r="G4" s="13">
        <v>3.22641509433962E-2</v>
      </c>
    </row>
    <row r="5" spans="1:7" s="9" customFormat="1" x14ac:dyDescent="0.3">
      <c r="A5" s="4" t="s">
        <v>11</v>
      </c>
      <c r="B5" s="4" t="s">
        <v>8</v>
      </c>
      <c r="C5" s="4">
        <v>30</v>
      </c>
      <c r="D5" s="4">
        <v>652</v>
      </c>
      <c r="E5" s="5">
        <v>0.15355072463768099</v>
      </c>
      <c r="F5" s="13">
        <v>1.08666666666667</v>
      </c>
      <c r="G5" s="13">
        <v>2.55917874396135E-2</v>
      </c>
    </row>
    <row r="6" spans="1:7" s="9" customFormat="1" x14ac:dyDescent="0.3">
      <c r="A6" s="4" t="s">
        <v>12</v>
      </c>
      <c r="B6" s="4" t="s">
        <v>8</v>
      </c>
      <c r="C6" s="4">
        <v>30</v>
      </c>
      <c r="D6" s="4">
        <v>564</v>
      </c>
      <c r="E6" s="5">
        <v>0.121551724137931</v>
      </c>
      <c r="F6" s="13">
        <v>1.1279999999999999</v>
      </c>
      <c r="G6" s="13">
        <v>2.4310344827586199E-2</v>
      </c>
    </row>
    <row r="7" spans="1:7" s="9" customFormat="1" x14ac:dyDescent="0.3">
      <c r="A7" s="4" t="s">
        <v>13</v>
      </c>
      <c r="B7" s="4" t="s">
        <v>8</v>
      </c>
      <c r="C7" s="4">
        <v>30</v>
      </c>
      <c r="D7" s="4">
        <v>686</v>
      </c>
      <c r="E7" s="5">
        <v>0.19901023890785</v>
      </c>
      <c r="F7" s="13">
        <v>0.98</v>
      </c>
      <c r="G7" s="13">
        <v>2.8430034129692801E-2</v>
      </c>
    </row>
    <row r="8" spans="1:7" s="9" customFormat="1" x14ac:dyDescent="0.3">
      <c r="A8" s="4" t="s">
        <v>14</v>
      </c>
      <c r="B8" s="4" t="s">
        <v>8</v>
      </c>
      <c r="C8" s="4">
        <v>60</v>
      </c>
      <c r="D8" s="4">
        <v>1244</v>
      </c>
      <c r="E8" s="5">
        <v>0.61982517482517496</v>
      </c>
      <c r="F8" s="13">
        <v>0.82933333333333303</v>
      </c>
      <c r="G8" s="13">
        <v>4.1321678321678303E-2</v>
      </c>
    </row>
    <row r="9" spans="1:7" s="9" customFormat="1" x14ac:dyDescent="0.3">
      <c r="A9" s="4" t="s">
        <v>15</v>
      </c>
      <c r="B9" s="4" t="s">
        <v>8</v>
      </c>
      <c r="C9" s="4">
        <v>60</v>
      </c>
      <c r="D9" s="4">
        <v>962</v>
      </c>
      <c r="E9" s="5">
        <v>0.59148491879350396</v>
      </c>
      <c r="F9" s="13">
        <v>0.60124999999999995</v>
      </c>
      <c r="G9" s="13">
        <v>3.6967807424593997E-2</v>
      </c>
    </row>
    <row r="10" spans="1:7" s="9" customFormat="1" x14ac:dyDescent="0.3">
      <c r="A10" s="4" t="s">
        <v>16</v>
      </c>
      <c r="B10" s="4" t="s">
        <v>8</v>
      </c>
      <c r="C10" s="4">
        <v>60</v>
      </c>
      <c r="D10" s="4">
        <v>1050</v>
      </c>
      <c r="E10" s="5">
        <v>0.70736842105263198</v>
      </c>
      <c r="F10" s="13">
        <v>0.61764705882352899</v>
      </c>
      <c r="G10" s="13">
        <v>4.1609907120743E-2</v>
      </c>
    </row>
    <row r="11" spans="1:7" s="9" customFormat="1" x14ac:dyDescent="0.3">
      <c r="A11" s="4" t="s">
        <v>17</v>
      </c>
      <c r="B11" s="4" t="s">
        <v>8</v>
      </c>
      <c r="C11" s="4">
        <v>60</v>
      </c>
      <c r="D11" s="4">
        <v>1090</v>
      </c>
      <c r="E11" s="5">
        <v>0.68262626262626303</v>
      </c>
      <c r="F11" s="13">
        <v>0.77857142857142903</v>
      </c>
      <c r="G11" s="13">
        <v>4.87590187590188E-2</v>
      </c>
    </row>
    <row r="12" spans="1:7" s="9" customFormat="1" x14ac:dyDescent="0.3">
      <c r="A12" s="4" t="s">
        <v>18</v>
      </c>
      <c r="B12" s="4" t="s">
        <v>8</v>
      </c>
      <c r="C12" s="4">
        <v>60</v>
      </c>
      <c r="D12" s="4">
        <v>1300</v>
      </c>
      <c r="E12" s="5">
        <v>0.65</v>
      </c>
      <c r="F12" s="13">
        <v>0.76470588235294101</v>
      </c>
      <c r="G12" s="13">
        <v>3.8235294117647103E-2</v>
      </c>
    </row>
    <row r="13" spans="1:7" s="9" customFormat="1" x14ac:dyDescent="0.3">
      <c r="A13" s="4" t="s">
        <v>19</v>
      </c>
      <c r="B13" s="4" t="s">
        <v>8</v>
      </c>
      <c r="C13" s="4">
        <v>60</v>
      </c>
      <c r="D13" s="14">
        <v>1032</v>
      </c>
      <c r="E13" s="11">
        <v>0.653304721030043</v>
      </c>
      <c r="F13" s="13">
        <v>0.54315789473684195</v>
      </c>
      <c r="G13" s="13">
        <v>3.43844590015812E-2</v>
      </c>
    </row>
    <row r="14" spans="1:7" s="9" customFormat="1" x14ac:dyDescent="0.3">
      <c r="A14" s="4" t="s">
        <v>20</v>
      </c>
      <c r="B14" s="4" t="s">
        <v>8</v>
      </c>
      <c r="C14" s="4">
        <v>90</v>
      </c>
      <c r="D14" s="4">
        <v>920</v>
      </c>
      <c r="E14" s="5">
        <v>0.50600000000000001</v>
      </c>
      <c r="F14" s="13">
        <v>0.38333333333333303</v>
      </c>
      <c r="G14" s="13">
        <v>2.1083333333333301E-2</v>
      </c>
    </row>
    <row r="15" spans="1:7" s="9" customFormat="1" x14ac:dyDescent="0.3">
      <c r="A15" s="4" t="s">
        <v>21</v>
      </c>
      <c r="B15" s="4" t="s">
        <v>8</v>
      </c>
      <c r="C15" s="4">
        <v>90</v>
      </c>
      <c r="D15" s="4">
        <v>710</v>
      </c>
      <c r="E15" s="5">
        <v>0.49241935483871002</v>
      </c>
      <c r="F15" s="13">
        <v>0.338095238095238</v>
      </c>
      <c r="G15" s="13">
        <v>2.3448540706605198E-2</v>
      </c>
    </row>
    <row r="16" spans="1:7" s="9" customFormat="1" x14ac:dyDescent="0.3">
      <c r="A16" s="4" t="s">
        <v>22</v>
      </c>
      <c r="B16" s="4" t="s">
        <v>8</v>
      </c>
      <c r="C16" s="4">
        <v>90</v>
      </c>
      <c r="D16" s="4">
        <v>790</v>
      </c>
      <c r="E16" s="5">
        <v>0.63200000000000001</v>
      </c>
      <c r="F16" s="13">
        <v>0.35909090909090902</v>
      </c>
      <c r="G16" s="13">
        <v>2.8727272727272699E-2</v>
      </c>
    </row>
    <row r="17" spans="1:7" s="9" customFormat="1" x14ac:dyDescent="0.3">
      <c r="A17" s="4" t="s">
        <v>23</v>
      </c>
      <c r="B17" s="4" t="s">
        <v>8</v>
      </c>
      <c r="C17" s="4">
        <v>90</v>
      </c>
      <c r="D17" s="4">
        <v>970</v>
      </c>
      <c r="E17" s="5">
        <v>0.82670454545454497</v>
      </c>
      <c r="F17" s="13">
        <v>0.37307692307692297</v>
      </c>
      <c r="G17" s="13">
        <v>3.17963286713287E-2</v>
      </c>
    </row>
    <row r="18" spans="1:7" s="9" customFormat="1" x14ac:dyDescent="0.3">
      <c r="A18" s="4" t="s">
        <v>24</v>
      </c>
      <c r="B18" s="4" t="s">
        <v>8</v>
      </c>
      <c r="C18" s="4">
        <v>90</v>
      </c>
      <c r="D18" s="4">
        <v>960</v>
      </c>
      <c r="E18" s="5">
        <v>0.68413793103448295</v>
      </c>
      <c r="F18" s="13">
        <v>0.43636363636363601</v>
      </c>
      <c r="G18" s="13">
        <v>3.1097178683385601E-2</v>
      </c>
    </row>
    <row r="19" spans="1:7" s="9" customFormat="1" x14ac:dyDescent="0.3">
      <c r="A19" s="4" t="s">
        <v>25</v>
      </c>
      <c r="B19" s="4" t="s">
        <v>8</v>
      </c>
      <c r="C19" s="4">
        <v>90</v>
      </c>
      <c r="D19" s="4">
        <v>970</v>
      </c>
      <c r="E19" s="5">
        <v>0.67238636363636395</v>
      </c>
      <c r="F19" s="13">
        <v>0.359259259259259</v>
      </c>
      <c r="G19" s="13">
        <v>2.4903198653198701E-2</v>
      </c>
    </row>
    <row r="20" spans="1:7" s="9" customFormat="1" x14ac:dyDescent="0.3">
      <c r="A20" s="4" t="s">
        <v>26</v>
      </c>
      <c r="B20" s="4" t="s">
        <v>8</v>
      </c>
      <c r="C20" s="4">
        <v>150</v>
      </c>
      <c r="D20" s="4">
        <v>1190</v>
      </c>
      <c r="E20" s="5">
        <v>1.0169090909090901</v>
      </c>
      <c r="F20" s="13">
        <v>0.31315789473684202</v>
      </c>
      <c r="G20" s="13">
        <v>2.67607655502392E-2</v>
      </c>
    </row>
    <row r="21" spans="1:7" s="9" customFormat="1" x14ac:dyDescent="0.3">
      <c r="A21" s="4" t="s">
        <v>27</v>
      </c>
      <c r="B21" s="4" t="s">
        <v>8</v>
      </c>
      <c r="C21" s="4">
        <v>150</v>
      </c>
      <c r="D21" s="4">
        <v>940</v>
      </c>
      <c r="E21" s="5">
        <v>0.81835294117647095</v>
      </c>
      <c r="F21" s="13">
        <v>0.29375000000000001</v>
      </c>
      <c r="G21" s="13">
        <v>2.55735294117647E-2</v>
      </c>
    </row>
    <row r="22" spans="1:7" s="9" customFormat="1" x14ac:dyDescent="0.3">
      <c r="A22" s="4" t="s">
        <v>28</v>
      </c>
      <c r="B22" s="4" t="s">
        <v>8</v>
      </c>
      <c r="C22" s="4">
        <v>150</v>
      </c>
      <c r="D22" s="4">
        <v>1220</v>
      </c>
      <c r="E22" s="5">
        <v>0.99327433628318595</v>
      </c>
      <c r="F22" s="13">
        <v>0.38124999999999998</v>
      </c>
      <c r="G22" s="13">
        <v>3.1039823008849599E-2</v>
      </c>
    </row>
    <row r="23" spans="1:7" s="9" customFormat="1" x14ac:dyDescent="0.3">
      <c r="A23" s="4" t="s">
        <v>29</v>
      </c>
      <c r="B23" s="4" t="s">
        <v>8</v>
      </c>
      <c r="C23" s="4">
        <v>150</v>
      </c>
      <c r="D23" s="4">
        <v>1240</v>
      </c>
      <c r="E23" s="5">
        <v>0.97043478260869598</v>
      </c>
      <c r="F23" s="13">
        <v>0.35428571428571398</v>
      </c>
      <c r="G23" s="13">
        <v>2.7726708074534201E-2</v>
      </c>
    </row>
    <row r="24" spans="1:7" s="9" customFormat="1" x14ac:dyDescent="0.3">
      <c r="A24" s="4" t="s">
        <v>30</v>
      </c>
      <c r="B24" s="4" t="s">
        <v>8</v>
      </c>
      <c r="C24" s="4">
        <v>150</v>
      </c>
      <c r="D24" s="4">
        <v>1115</v>
      </c>
      <c r="E24" s="5">
        <v>1.0660487804878001</v>
      </c>
      <c r="F24" s="13">
        <v>0.31857142857142901</v>
      </c>
      <c r="G24" s="13">
        <v>3.0458536585365899E-2</v>
      </c>
    </row>
    <row r="25" spans="1:7" s="9" customFormat="1" x14ac:dyDescent="0.3">
      <c r="A25" s="4" t="s">
        <v>31</v>
      </c>
      <c r="B25" s="4" t="s">
        <v>8</v>
      </c>
      <c r="C25" s="4">
        <v>150</v>
      </c>
      <c r="D25" s="14">
        <v>1150</v>
      </c>
      <c r="E25" s="11">
        <v>1.1174528301886799</v>
      </c>
      <c r="F25" s="13">
        <v>0.33823529411764702</v>
      </c>
      <c r="G25" s="13">
        <v>3.28662597114317E-2</v>
      </c>
    </row>
    <row r="26" spans="1:7" s="9" customFormat="1" x14ac:dyDescent="0.3">
      <c r="A26" s="4" t="s">
        <v>32</v>
      </c>
      <c r="B26" s="4" t="s">
        <v>8</v>
      </c>
      <c r="C26" s="4">
        <v>210</v>
      </c>
      <c r="D26" s="4">
        <v>1320</v>
      </c>
      <c r="E26" s="15">
        <v>1.2767213114754099</v>
      </c>
      <c r="F26" s="13">
        <v>0.16923076923076899</v>
      </c>
      <c r="G26" s="13">
        <v>1.63682219419924E-2</v>
      </c>
    </row>
    <row r="27" spans="1:7" s="9" customFormat="1" x14ac:dyDescent="0.3">
      <c r="A27" s="4" t="s">
        <v>33</v>
      </c>
      <c r="B27" s="4" t="s">
        <v>8</v>
      </c>
      <c r="C27" s="4">
        <v>210</v>
      </c>
      <c r="D27" s="4">
        <v>1144</v>
      </c>
      <c r="E27" s="5">
        <v>1.01908045977012</v>
      </c>
      <c r="F27" s="13">
        <v>0.13149425287356301</v>
      </c>
      <c r="G27" s="13">
        <v>1.17135685031048E-2</v>
      </c>
    </row>
    <row r="28" spans="1:7" s="9" customFormat="1" x14ac:dyDescent="0.3">
      <c r="A28" s="4" t="s">
        <v>34</v>
      </c>
      <c r="B28" s="4" t="s">
        <v>8</v>
      </c>
      <c r="C28" s="4">
        <v>210</v>
      </c>
      <c r="D28" s="4">
        <v>1280</v>
      </c>
      <c r="E28" s="5">
        <v>1.26915254237288</v>
      </c>
      <c r="F28" s="13">
        <v>0.15058823529411799</v>
      </c>
      <c r="G28" s="13">
        <v>1.49312063808574E-2</v>
      </c>
    </row>
    <row r="29" spans="1:7" s="9" customFormat="1" x14ac:dyDescent="0.3">
      <c r="A29" s="4" t="s">
        <v>35</v>
      </c>
      <c r="B29" s="4" t="s">
        <v>8</v>
      </c>
      <c r="C29" s="4">
        <v>210</v>
      </c>
      <c r="D29" s="4">
        <v>1530</v>
      </c>
      <c r="E29" s="5">
        <v>1.6369930069930101</v>
      </c>
      <c r="F29" s="13">
        <v>0.20958904109588999</v>
      </c>
      <c r="G29" s="13">
        <v>2.24245617396302E-2</v>
      </c>
    </row>
    <row r="30" spans="1:7" s="9" customFormat="1" x14ac:dyDescent="0.3">
      <c r="A30" s="4" t="s">
        <v>36</v>
      </c>
      <c r="B30" s="4" t="s">
        <v>8</v>
      </c>
      <c r="C30" s="4">
        <v>210</v>
      </c>
      <c r="D30" s="4">
        <v>1450</v>
      </c>
      <c r="E30" s="5">
        <v>1.60037037037037</v>
      </c>
      <c r="F30" s="13">
        <v>0.179012345679012</v>
      </c>
      <c r="G30" s="13">
        <v>1.9757658893461399E-2</v>
      </c>
    </row>
    <row r="31" spans="1:7" s="9" customFormat="1" x14ac:dyDescent="0.3">
      <c r="A31" s="4" t="s">
        <v>37</v>
      </c>
      <c r="B31" s="4" t="s">
        <v>8</v>
      </c>
      <c r="C31" s="4">
        <v>210</v>
      </c>
      <c r="D31" s="4">
        <v>1170</v>
      </c>
      <c r="E31" s="5">
        <v>1.1481308411215001</v>
      </c>
      <c r="F31" s="13">
        <v>0.131460674157303</v>
      </c>
      <c r="G31" s="13">
        <v>1.2900346529455001E-2</v>
      </c>
    </row>
    <row r="32" spans="1:7" s="9" customFormat="1" x14ac:dyDescent="0.3">
      <c r="A32" s="4" t="s">
        <v>38</v>
      </c>
      <c r="B32" s="4" t="s">
        <v>8</v>
      </c>
      <c r="C32" s="4">
        <v>300</v>
      </c>
      <c r="D32" s="4">
        <v>1390</v>
      </c>
      <c r="E32" s="5">
        <v>1.2822480620154999</v>
      </c>
      <c r="F32" s="13">
        <v>0.15617977528089899</v>
      </c>
      <c r="G32" s="13">
        <v>1.44072815956798E-2</v>
      </c>
    </row>
    <row r="33" spans="1:7" s="9" customFormat="1" x14ac:dyDescent="0.3">
      <c r="A33" s="4" t="s">
        <v>39</v>
      </c>
      <c r="B33" s="4" t="s">
        <v>8</v>
      </c>
      <c r="C33" s="4">
        <v>300</v>
      </c>
      <c r="D33" s="4">
        <v>1340</v>
      </c>
      <c r="E33" s="5">
        <v>2.0424193548387102</v>
      </c>
      <c r="F33" s="13">
        <v>0.12181818181818201</v>
      </c>
      <c r="G33" s="13">
        <v>1.85674486803519E-2</v>
      </c>
    </row>
    <row r="34" spans="1:7" s="9" customFormat="1" x14ac:dyDescent="0.3">
      <c r="A34" s="4" t="s">
        <v>40</v>
      </c>
      <c r="B34" s="4" t="s">
        <v>8</v>
      </c>
      <c r="C34" s="4">
        <v>300</v>
      </c>
      <c r="D34" s="4">
        <v>1304</v>
      </c>
      <c r="E34" s="5">
        <v>1.3104983388704301</v>
      </c>
      <c r="F34" s="13">
        <v>0.135833333333333</v>
      </c>
      <c r="G34" s="13">
        <v>1.36510243632337E-2</v>
      </c>
    </row>
    <row r="35" spans="1:7" s="9" customFormat="1" x14ac:dyDescent="0.3">
      <c r="A35" s="4" t="s">
        <v>41</v>
      </c>
      <c r="B35" s="4" t="s">
        <v>8</v>
      </c>
      <c r="C35" s="4">
        <v>300</v>
      </c>
      <c r="D35" s="4">
        <v>1390</v>
      </c>
      <c r="E35" s="5">
        <v>1.12062015503876</v>
      </c>
      <c r="F35" s="13">
        <v>0.136274509803922</v>
      </c>
      <c r="G35" s="13">
        <v>1.0986472108223099E-2</v>
      </c>
    </row>
    <row r="36" spans="1:7" s="9" customFormat="1" x14ac:dyDescent="0.3">
      <c r="A36" s="4" t="s">
        <v>42</v>
      </c>
      <c r="B36" s="4" t="s">
        <v>8</v>
      </c>
      <c r="C36" s="4">
        <v>300</v>
      </c>
      <c r="D36" s="4">
        <v>1210</v>
      </c>
      <c r="E36" s="5">
        <v>0.98108108108108105</v>
      </c>
      <c r="F36" s="13">
        <v>0.13750000000000001</v>
      </c>
      <c r="G36" s="13">
        <v>1.1148648648648601E-2</v>
      </c>
    </row>
    <row r="37" spans="1:7" s="9" customFormat="1" x14ac:dyDescent="0.3">
      <c r="A37" s="4" t="s">
        <v>43</v>
      </c>
      <c r="B37" s="4" t="s">
        <v>8</v>
      </c>
      <c r="C37" s="4">
        <v>300</v>
      </c>
      <c r="D37" s="4">
        <v>1354</v>
      </c>
      <c r="E37" s="5">
        <v>1.1985167464114801</v>
      </c>
      <c r="F37" s="13">
        <v>0.14717391304347799</v>
      </c>
      <c r="G37" s="13">
        <v>1.3027355939255299E-2</v>
      </c>
    </row>
    <row r="38" spans="1:7" s="9" customFormat="1" x14ac:dyDescent="0.3">
      <c r="A38" s="4" t="s">
        <v>44</v>
      </c>
      <c r="B38" s="4" t="s">
        <v>45</v>
      </c>
      <c r="C38" s="4">
        <v>30</v>
      </c>
      <c r="D38" s="4">
        <v>954</v>
      </c>
      <c r="E38" s="5">
        <v>0.32037313432835801</v>
      </c>
      <c r="F38" s="13">
        <v>1.51428571428571</v>
      </c>
      <c r="G38" s="13">
        <v>5.0852878464818799E-2</v>
      </c>
    </row>
    <row r="39" spans="1:7" s="9" customFormat="1" x14ac:dyDescent="0.3">
      <c r="A39" s="4" t="s">
        <v>46</v>
      </c>
      <c r="B39" s="4" t="s">
        <v>45</v>
      </c>
      <c r="C39" s="4">
        <v>30</v>
      </c>
      <c r="D39" s="4">
        <v>1014</v>
      </c>
      <c r="E39" s="5">
        <v>0.31687500000000002</v>
      </c>
      <c r="F39" s="13">
        <v>1.56</v>
      </c>
      <c r="G39" s="13">
        <v>4.8750000000000002E-2</v>
      </c>
    </row>
    <row r="40" spans="1:7" s="9" customFormat="1" x14ac:dyDescent="0.3">
      <c r="A40" s="4" t="s">
        <v>47</v>
      </c>
      <c r="B40" s="4" t="s">
        <v>45</v>
      </c>
      <c r="C40" s="4">
        <v>30</v>
      </c>
      <c r="D40" s="4">
        <v>1030</v>
      </c>
      <c r="E40" s="5">
        <v>0.37454545454545501</v>
      </c>
      <c r="F40" s="13">
        <v>1.37333333333333</v>
      </c>
      <c r="G40" s="13">
        <v>4.9939393939393902E-2</v>
      </c>
    </row>
    <row r="41" spans="1:7" s="9" customFormat="1" x14ac:dyDescent="0.3">
      <c r="A41" s="4" t="s">
        <v>48</v>
      </c>
      <c r="B41" s="4" t="s">
        <v>45</v>
      </c>
      <c r="C41" s="4">
        <v>30</v>
      </c>
      <c r="D41" s="4">
        <v>930</v>
      </c>
      <c r="E41" s="5">
        <v>0.40538461538461501</v>
      </c>
      <c r="F41" s="13">
        <v>1.2567567567567599</v>
      </c>
      <c r="G41" s="13">
        <v>5.4781704781704799E-2</v>
      </c>
    </row>
    <row r="42" spans="1:7" s="9" customFormat="1" x14ac:dyDescent="0.3">
      <c r="A42" s="4" t="s">
        <v>49</v>
      </c>
      <c r="B42" s="4" t="s">
        <v>45</v>
      </c>
      <c r="C42" s="4">
        <v>30</v>
      </c>
      <c r="D42" s="4">
        <v>972</v>
      </c>
      <c r="E42" s="5">
        <v>0.31927007299270099</v>
      </c>
      <c r="F42" s="13">
        <v>2.16</v>
      </c>
      <c r="G42" s="13">
        <v>7.0948905109489105E-2</v>
      </c>
    </row>
    <row r="43" spans="1:7" s="9" customFormat="1" x14ac:dyDescent="0.3">
      <c r="A43" s="4" t="s">
        <v>50</v>
      </c>
      <c r="B43" s="4" t="s">
        <v>45</v>
      </c>
      <c r="C43" s="4">
        <v>30</v>
      </c>
      <c r="D43" s="4">
        <v>870</v>
      </c>
      <c r="E43" s="5">
        <v>0.30208333333333298</v>
      </c>
      <c r="F43" s="13">
        <v>1.30827067669173</v>
      </c>
      <c r="G43" s="13">
        <v>4.54260651629073E-2</v>
      </c>
    </row>
    <row r="44" spans="1:7" s="9" customFormat="1" x14ac:dyDescent="0.3">
      <c r="A44" s="4" t="s">
        <v>51</v>
      </c>
      <c r="B44" s="4" t="s">
        <v>45</v>
      </c>
      <c r="C44" s="4">
        <v>60</v>
      </c>
      <c r="D44" s="4">
        <v>1170</v>
      </c>
      <c r="E44" s="5">
        <v>0.55058823529411804</v>
      </c>
      <c r="F44" s="13">
        <v>0.95121951219512202</v>
      </c>
      <c r="G44" s="13">
        <v>4.4763271162123398E-2</v>
      </c>
    </row>
    <row r="45" spans="1:7" s="9" customFormat="1" x14ac:dyDescent="0.3">
      <c r="A45" s="4" t="s">
        <v>52</v>
      </c>
      <c r="B45" s="4" t="s">
        <v>45</v>
      </c>
      <c r="C45" s="4">
        <v>60</v>
      </c>
      <c r="D45" s="4">
        <v>1294</v>
      </c>
      <c r="E45" s="5">
        <v>0.80309440559440604</v>
      </c>
      <c r="F45" s="13">
        <v>0.86845637583892599</v>
      </c>
      <c r="G45" s="13">
        <v>5.38989533955977E-2</v>
      </c>
    </row>
    <row r="46" spans="1:7" s="9" customFormat="1" x14ac:dyDescent="0.3">
      <c r="A46" s="4" t="s">
        <v>53</v>
      </c>
      <c r="B46" s="4" t="s">
        <v>45</v>
      </c>
      <c r="C46" s="4">
        <v>60</v>
      </c>
      <c r="D46" s="4">
        <v>1218</v>
      </c>
      <c r="E46" s="5">
        <v>0.72988764044943799</v>
      </c>
      <c r="F46" s="13">
        <v>0.92977099236641203</v>
      </c>
      <c r="G46" s="13">
        <v>5.5716613774766298E-2</v>
      </c>
    </row>
    <row r="47" spans="1:7" s="9" customFormat="1" x14ac:dyDescent="0.3">
      <c r="A47" s="4" t="s">
        <v>54</v>
      </c>
      <c r="B47" s="4" t="s">
        <v>45</v>
      </c>
      <c r="C47" s="4">
        <v>60</v>
      </c>
      <c r="D47" s="4">
        <v>1390</v>
      </c>
      <c r="E47" s="5">
        <v>0.71741935483871</v>
      </c>
      <c r="F47" s="13">
        <v>0.86335403726708104</v>
      </c>
      <c r="G47" s="13">
        <v>4.45602083750751E-2</v>
      </c>
    </row>
    <row r="48" spans="1:7" s="9" customFormat="1" x14ac:dyDescent="0.3">
      <c r="A48" s="4" t="s">
        <v>55</v>
      </c>
      <c r="B48" s="4" t="s">
        <v>45</v>
      </c>
      <c r="C48" s="4">
        <v>60</v>
      </c>
      <c r="D48" s="4">
        <v>1200</v>
      </c>
      <c r="E48" s="5">
        <v>0.8</v>
      </c>
      <c r="F48" s="13">
        <v>0.72948328267477203</v>
      </c>
      <c r="G48" s="13">
        <v>4.8632218844984802E-2</v>
      </c>
    </row>
    <row r="49" spans="1:7" s="9" customFormat="1" x14ac:dyDescent="0.3">
      <c r="A49" s="4" t="s">
        <v>56</v>
      </c>
      <c r="B49" s="4" t="s">
        <v>45</v>
      </c>
      <c r="C49" s="4">
        <v>60</v>
      </c>
      <c r="D49" s="4">
        <v>1246</v>
      </c>
      <c r="E49" s="5">
        <v>0.68211678832116796</v>
      </c>
      <c r="F49" s="13">
        <v>0.81437908496732003</v>
      </c>
      <c r="G49" s="13">
        <v>4.4582796622298498E-2</v>
      </c>
    </row>
    <row r="50" spans="1:7" s="9" customFormat="1" x14ac:dyDescent="0.3">
      <c r="A50" s="4" t="s">
        <v>57</v>
      </c>
      <c r="B50" s="4" t="s">
        <v>45</v>
      </c>
      <c r="C50" s="4">
        <v>90</v>
      </c>
      <c r="D50" s="4">
        <v>1518</v>
      </c>
      <c r="E50" s="5">
        <v>0.95429824561403498</v>
      </c>
      <c r="F50" s="13">
        <v>0.83406593406593399</v>
      </c>
      <c r="G50" s="13">
        <v>5.2433969539232697E-2</v>
      </c>
    </row>
    <row r="51" spans="1:7" s="9" customFormat="1" x14ac:dyDescent="0.3">
      <c r="A51" s="4" t="s">
        <v>58</v>
      </c>
      <c r="B51" s="4" t="s">
        <v>45</v>
      </c>
      <c r="C51" s="4">
        <v>90</v>
      </c>
      <c r="D51" s="4">
        <v>1298</v>
      </c>
      <c r="E51" s="5">
        <v>0.99498257839721305</v>
      </c>
      <c r="F51" s="13">
        <v>0.47720588235294098</v>
      </c>
      <c r="G51" s="13">
        <v>3.6580241852838702E-2</v>
      </c>
    </row>
    <row r="52" spans="1:7" s="9" customFormat="1" x14ac:dyDescent="0.3">
      <c r="A52" s="4" t="s">
        <v>59</v>
      </c>
      <c r="B52" s="4" t="s">
        <v>45</v>
      </c>
      <c r="C52" s="4">
        <v>90</v>
      </c>
      <c r="D52" s="4">
        <v>1550</v>
      </c>
      <c r="E52" s="5">
        <v>1.02964285714286</v>
      </c>
      <c r="F52" s="13">
        <v>0.52542372881355903</v>
      </c>
      <c r="G52" s="13">
        <v>3.49031476997579E-2</v>
      </c>
    </row>
    <row r="53" spans="1:7" s="9" customFormat="1" x14ac:dyDescent="0.3">
      <c r="A53" s="4" t="s">
        <v>60</v>
      </c>
      <c r="B53" s="4" t="s">
        <v>45</v>
      </c>
      <c r="C53" s="4">
        <v>90</v>
      </c>
      <c r="D53" s="4">
        <v>1510</v>
      </c>
      <c r="E53" s="5">
        <v>1.0991911764705899</v>
      </c>
      <c r="F53" s="13">
        <v>0.51186440677966105</v>
      </c>
      <c r="G53" s="13">
        <v>3.7260717846460602E-2</v>
      </c>
    </row>
    <row r="54" spans="1:7" s="9" customFormat="1" x14ac:dyDescent="0.3">
      <c r="A54" s="4" t="s">
        <v>61</v>
      </c>
      <c r="B54" s="4" t="s">
        <v>45</v>
      </c>
      <c r="C54" s="4">
        <v>90</v>
      </c>
      <c r="D54" s="4">
        <v>1230</v>
      </c>
      <c r="E54" s="5">
        <v>0.78583333333333305</v>
      </c>
      <c r="F54" s="13">
        <v>0.65600000000000003</v>
      </c>
      <c r="G54" s="13">
        <v>4.19111111111111E-2</v>
      </c>
    </row>
    <row r="55" spans="1:7" s="9" customFormat="1" x14ac:dyDescent="0.3">
      <c r="A55" s="4" t="s">
        <v>62</v>
      </c>
      <c r="B55" s="4" t="s">
        <v>45</v>
      </c>
      <c r="C55" s="4">
        <v>90</v>
      </c>
      <c r="D55" s="4">
        <v>1486</v>
      </c>
      <c r="E55" s="5">
        <v>1.06778443113772</v>
      </c>
      <c r="F55" s="13">
        <v>0.58851485148514904</v>
      </c>
      <c r="G55" s="13">
        <v>4.2288492322286098E-2</v>
      </c>
    </row>
    <row r="56" spans="1:7" s="9" customFormat="1" x14ac:dyDescent="0.3">
      <c r="A56" s="4" t="s">
        <v>63</v>
      </c>
      <c r="B56" s="4" t="s">
        <v>45</v>
      </c>
      <c r="C56" s="4">
        <v>150</v>
      </c>
      <c r="D56" s="4">
        <v>1906</v>
      </c>
      <c r="E56" s="5">
        <v>1.9429043280182201</v>
      </c>
      <c r="F56" s="13">
        <v>0.262534435261708</v>
      </c>
      <c r="G56" s="13">
        <v>2.6761767603556801E-2</v>
      </c>
    </row>
    <row r="57" spans="1:7" s="9" customFormat="1" x14ac:dyDescent="0.3">
      <c r="A57" s="4" t="s">
        <v>64</v>
      </c>
      <c r="B57" s="4" t="s">
        <v>45</v>
      </c>
      <c r="C57" s="4">
        <v>150</v>
      </c>
      <c r="D57" s="4">
        <v>2310</v>
      </c>
      <c r="E57" s="5">
        <v>2.3741666666666701</v>
      </c>
      <c r="F57" s="13">
        <v>0.23583460949464</v>
      </c>
      <c r="G57" s="13">
        <v>2.4238557086949102E-2</v>
      </c>
    </row>
    <row r="58" spans="1:7" s="9" customFormat="1" x14ac:dyDescent="0.3">
      <c r="A58" s="4" t="s">
        <v>65</v>
      </c>
      <c r="B58" s="4" t="s">
        <v>45</v>
      </c>
      <c r="C58" s="4">
        <v>150</v>
      </c>
      <c r="D58" s="4">
        <v>1900</v>
      </c>
      <c r="E58" s="5">
        <v>1.8782857142857099</v>
      </c>
      <c r="F58" s="13">
        <v>0.19607843137254899</v>
      </c>
      <c r="G58" s="13">
        <v>1.9383753501400602E-2</v>
      </c>
    </row>
    <row r="59" spans="1:7" s="9" customFormat="1" x14ac:dyDescent="0.3">
      <c r="A59" s="4" t="s">
        <v>66</v>
      </c>
      <c r="B59" s="4" t="s">
        <v>45</v>
      </c>
      <c r="C59" s="4">
        <v>150</v>
      </c>
      <c r="D59" s="4">
        <v>2250</v>
      </c>
      <c r="E59" s="5">
        <v>2.0464285714285699</v>
      </c>
      <c r="F59" s="13">
        <v>0.260567458019687</v>
      </c>
      <c r="G59" s="13">
        <v>2.3699230705600101E-2</v>
      </c>
    </row>
    <row r="60" spans="1:7" s="9" customFormat="1" x14ac:dyDescent="0.3">
      <c r="A60" s="4" t="s">
        <v>67</v>
      </c>
      <c r="B60" s="4" t="s">
        <v>45</v>
      </c>
      <c r="C60" s="4">
        <v>150</v>
      </c>
      <c r="D60" s="4">
        <v>2330</v>
      </c>
      <c r="E60" s="5">
        <v>2.35137614678899</v>
      </c>
      <c r="F60" s="13">
        <v>0.23582995951416999</v>
      </c>
      <c r="G60" s="13">
        <v>2.37993537124392E-2</v>
      </c>
    </row>
    <row r="61" spans="1:7" s="9" customFormat="1" x14ac:dyDescent="0.3">
      <c r="A61" s="4" t="s">
        <v>68</v>
      </c>
      <c r="B61" s="4" t="s">
        <v>45</v>
      </c>
      <c r="C61" s="4">
        <v>150</v>
      </c>
      <c r="D61" s="4">
        <v>2244</v>
      </c>
      <c r="E61" s="5">
        <v>2.1432664756447002</v>
      </c>
      <c r="F61" s="13">
        <v>0.213918017159199</v>
      </c>
      <c r="G61" s="13">
        <v>2.0431520263533801E-2</v>
      </c>
    </row>
    <row r="62" spans="1:7" s="9" customFormat="1" x14ac:dyDescent="0.3">
      <c r="A62" s="4" t="s">
        <v>69</v>
      </c>
      <c r="B62" s="4" t="s">
        <v>45</v>
      </c>
      <c r="C62" s="4">
        <v>210</v>
      </c>
      <c r="D62" s="4">
        <v>1930</v>
      </c>
      <c r="E62" s="5">
        <v>2.1</v>
      </c>
      <c r="F62" s="13">
        <v>0.16467576791808899</v>
      </c>
      <c r="G62" s="13">
        <v>1.7918088737201399E-2</v>
      </c>
    </row>
    <row r="63" spans="1:7" s="9" customFormat="1" x14ac:dyDescent="0.3">
      <c r="A63" s="4" t="s">
        <v>70</v>
      </c>
      <c r="B63" s="4" t="s">
        <v>45</v>
      </c>
      <c r="C63" s="4">
        <v>210</v>
      </c>
      <c r="D63" s="4">
        <v>1936</v>
      </c>
      <c r="E63" s="5">
        <v>2.39</v>
      </c>
      <c r="F63" s="13">
        <v>0.13472512178148899</v>
      </c>
      <c r="G63" s="13">
        <v>1.6631871955462799E-2</v>
      </c>
    </row>
    <row r="64" spans="1:7" s="9" customFormat="1" x14ac:dyDescent="0.3">
      <c r="A64" s="4" t="s">
        <v>71</v>
      </c>
      <c r="B64" s="4" t="s">
        <v>45</v>
      </c>
      <c r="C64" s="4">
        <v>210</v>
      </c>
      <c r="D64" s="4">
        <v>1754</v>
      </c>
      <c r="E64" s="5">
        <v>2.5099999999999998</v>
      </c>
      <c r="F64" s="13">
        <v>0.132477341389728</v>
      </c>
      <c r="G64" s="13">
        <v>1.8957703927492402E-2</v>
      </c>
    </row>
    <row r="65" spans="1:7" s="9" customFormat="1" x14ac:dyDescent="0.3">
      <c r="A65" s="4" t="s">
        <v>72</v>
      </c>
      <c r="B65" s="4" t="s">
        <v>45</v>
      </c>
      <c r="C65" s="4">
        <v>210</v>
      </c>
      <c r="D65" s="4">
        <v>2770</v>
      </c>
      <c r="E65" s="5">
        <v>2.2200000000000002</v>
      </c>
      <c r="F65" s="13">
        <v>0.21657544956997701</v>
      </c>
      <c r="G65" s="13">
        <v>1.7357310398749E-2</v>
      </c>
    </row>
    <row r="66" spans="1:7" s="9" customFormat="1" x14ac:dyDescent="0.3">
      <c r="A66" s="4" t="s">
        <v>73</v>
      </c>
      <c r="B66" s="4" t="s">
        <v>45</v>
      </c>
      <c r="C66" s="4">
        <v>210</v>
      </c>
      <c r="D66" s="4">
        <v>1778</v>
      </c>
      <c r="E66" s="5">
        <v>2.4500000000000002</v>
      </c>
      <c r="F66" s="13">
        <v>0.13449319213313199</v>
      </c>
      <c r="G66" s="13">
        <v>1.8532526475037801E-2</v>
      </c>
    </row>
    <row r="67" spans="1:7" s="9" customFormat="1" x14ac:dyDescent="0.3">
      <c r="A67" s="4" t="s">
        <v>74</v>
      </c>
      <c r="B67" s="4" t="s">
        <v>45</v>
      </c>
      <c r="C67" s="4">
        <v>210</v>
      </c>
      <c r="D67" s="4">
        <v>1932</v>
      </c>
      <c r="E67" s="5">
        <v>2.83</v>
      </c>
      <c r="F67" s="13">
        <v>0.16442553191489401</v>
      </c>
      <c r="G67" s="13">
        <v>2.4085106382978699E-2</v>
      </c>
    </row>
    <row r="68" spans="1:7" s="9" customFormat="1" x14ac:dyDescent="0.3">
      <c r="A68" s="4" t="s">
        <v>75</v>
      </c>
      <c r="B68" s="4" t="s">
        <v>45</v>
      </c>
      <c r="C68" s="4">
        <v>300</v>
      </c>
      <c r="D68" s="4">
        <v>2040</v>
      </c>
      <c r="E68" s="5">
        <v>2.3530158730158699</v>
      </c>
      <c r="F68" s="13">
        <v>8.41237113402062E-2</v>
      </c>
      <c r="G68" s="13">
        <v>9.7031582392407105E-3</v>
      </c>
    </row>
    <row r="69" spans="1:7" s="9" customFormat="1" x14ac:dyDescent="0.3">
      <c r="A69" s="4" t="s">
        <v>76</v>
      </c>
      <c r="B69" s="4" t="s">
        <v>45</v>
      </c>
      <c r="C69" s="4">
        <v>300</v>
      </c>
      <c r="D69" s="4">
        <v>2040</v>
      </c>
      <c r="E69" s="5">
        <v>2.3853968253968301</v>
      </c>
      <c r="F69" s="13">
        <v>9.9512195121951197E-2</v>
      </c>
      <c r="G69" s="13">
        <v>1.16360820751065E-2</v>
      </c>
    </row>
    <row r="70" spans="1:7" s="9" customFormat="1" x14ac:dyDescent="0.3">
      <c r="A70" s="4" t="s">
        <v>77</v>
      </c>
      <c r="B70" s="4" t="s">
        <v>45</v>
      </c>
      <c r="C70" s="4">
        <v>300</v>
      </c>
      <c r="D70" s="4">
        <v>1854</v>
      </c>
      <c r="E70" s="5">
        <v>2.1325352112676099</v>
      </c>
      <c r="F70" s="13">
        <v>0.102430939226519</v>
      </c>
      <c r="G70" s="13">
        <v>1.17819624931912E-2</v>
      </c>
    </row>
    <row r="71" spans="1:7" s="9" customFormat="1" x14ac:dyDescent="0.3">
      <c r="A71" s="4" t="s">
        <v>78</v>
      </c>
      <c r="B71" s="4" t="s">
        <v>45</v>
      </c>
      <c r="C71" s="4">
        <v>300</v>
      </c>
      <c r="D71" s="4">
        <v>2140</v>
      </c>
      <c r="E71" s="5">
        <v>2.6669346733668302</v>
      </c>
      <c r="F71" s="13">
        <v>9.6223021582733798E-2</v>
      </c>
      <c r="G71" s="13">
        <v>1.19916127399588E-2</v>
      </c>
    </row>
    <row r="72" spans="1:7" s="9" customFormat="1" x14ac:dyDescent="0.3">
      <c r="A72" s="4" t="s">
        <v>79</v>
      </c>
      <c r="B72" s="4" t="s">
        <v>45</v>
      </c>
      <c r="C72" s="4">
        <v>300</v>
      </c>
      <c r="D72" s="4">
        <v>1890</v>
      </c>
      <c r="E72" s="5">
        <v>2.4222413793103401</v>
      </c>
      <c r="F72" s="13">
        <v>9.2465753424657501E-2</v>
      </c>
      <c r="G72" s="13">
        <v>1.18504959848843E-2</v>
      </c>
    </row>
    <row r="73" spans="1:7" s="9" customFormat="1" x14ac:dyDescent="0.3">
      <c r="A73" s="4" t="s">
        <v>80</v>
      </c>
      <c r="B73" s="4" t="s">
        <v>45</v>
      </c>
      <c r="C73" s="4">
        <v>300</v>
      </c>
      <c r="D73" s="4">
        <v>1840</v>
      </c>
      <c r="E73" s="5">
        <v>2.47147928994083</v>
      </c>
      <c r="F73" s="13">
        <v>7.3570571771291504E-2</v>
      </c>
      <c r="G73" s="13">
        <v>9.8819643740137107E-3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workbookViewId="0">
      <selection sqref="A1:H1"/>
    </sheetView>
  </sheetViews>
  <sheetFormatPr defaultColWidth="8.7265625" defaultRowHeight="14" x14ac:dyDescent="0.25"/>
  <cols>
    <col min="1" max="1" width="8.7265625" style="2"/>
    <col min="2" max="2" width="10.6328125" style="2" customWidth="1"/>
    <col min="3" max="3" width="8.7265625" style="2"/>
    <col min="4" max="4" width="17.08984375" style="2" customWidth="1"/>
    <col min="5" max="5" width="17.36328125" style="2" customWidth="1"/>
    <col min="6" max="6" width="16.54296875" style="2" customWidth="1"/>
    <col min="7" max="7" width="10.1796875" style="2" customWidth="1"/>
    <col min="8" max="8" width="20.90625" style="2" customWidth="1"/>
    <col min="9" max="9" width="8.984375E-2" style="1" customWidth="1"/>
    <col min="10" max="16384" width="8.7265625" style="1"/>
  </cols>
  <sheetData>
    <row r="1" spans="1:8" ht="16" x14ac:dyDescent="0.25">
      <c r="A1" s="4" t="s">
        <v>0</v>
      </c>
      <c r="B1" s="4" t="s">
        <v>1</v>
      </c>
      <c r="C1" s="4" t="s">
        <v>2</v>
      </c>
      <c r="D1" s="5" t="s">
        <v>81</v>
      </c>
      <c r="E1" s="5" t="s">
        <v>82</v>
      </c>
      <c r="F1" s="5" t="s">
        <v>83</v>
      </c>
      <c r="G1" s="5" t="s">
        <v>84</v>
      </c>
      <c r="H1" s="5" t="s">
        <v>85</v>
      </c>
    </row>
    <row r="2" spans="1:8" x14ac:dyDescent="0.25">
      <c r="A2" s="7" t="s">
        <v>7</v>
      </c>
      <c r="B2" s="7" t="s">
        <v>8</v>
      </c>
      <c r="C2" s="7">
        <v>30</v>
      </c>
      <c r="D2" s="8">
        <v>364.90351367511198</v>
      </c>
      <c r="E2" s="8">
        <v>337.12021607861698</v>
      </c>
      <c r="F2" s="8">
        <v>156.286527006867</v>
      </c>
      <c r="G2" s="8">
        <f t="shared" ref="G2:G65" si="0">D2/E2</f>
        <v>1.0824136206356001</v>
      </c>
      <c r="H2" s="8">
        <f t="shared" ref="H2:H65" si="1">D2*F2*PI()</f>
        <v>179163.467175372</v>
      </c>
    </row>
    <row r="3" spans="1:8" x14ac:dyDescent="0.25">
      <c r="A3" s="4" t="s">
        <v>9</v>
      </c>
      <c r="B3" s="4" t="s">
        <v>8</v>
      </c>
      <c r="C3" s="4">
        <v>30</v>
      </c>
      <c r="D3" s="5">
        <v>251.184816102045</v>
      </c>
      <c r="E3" s="5">
        <v>375.21552476761002</v>
      </c>
      <c r="F3" s="5">
        <v>156.66522394133401</v>
      </c>
      <c r="G3" s="5">
        <f t="shared" si="0"/>
        <v>0.66944142638451998</v>
      </c>
      <c r="H3" s="5">
        <f t="shared" si="1"/>
        <v>123627.719946367</v>
      </c>
    </row>
    <row r="4" spans="1:8" x14ac:dyDescent="0.25">
      <c r="A4" s="4" t="s">
        <v>10</v>
      </c>
      <c r="B4" s="4" t="s">
        <v>8</v>
      </c>
      <c r="C4" s="4">
        <v>30</v>
      </c>
      <c r="D4" s="5">
        <v>333.56286407766999</v>
      </c>
      <c r="E4" s="5">
        <v>369.22308813845501</v>
      </c>
      <c r="F4" s="5">
        <v>139.055216146053</v>
      </c>
      <c r="G4" s="5">
        <f t="shared" si="0"/>
        <v>0.90341821731523797</v>
      </c>
      <c r="H4" s="5">
        <f t="shared" si="1"/>
        <v>145718.553447112</v>
      </c>
    </row>
    <row r="5" spans="1:8" x14ac:dyDescent="0.25">
      <c r="A5" s="4" t="s">
        <v>11</v>
      </c>
      <c r="B5" s="4" t="s">
        <v>8</v>
      </c>
      <c r="C5" s="4">
        <v>30</v>
      </c>
      <c r="D5" s="5">
        <v>304.55481230477</v>
      </c>
      <c r="E5" s="5">
        <v>323.46166713803302</v>
      </c>
      <c r="F5" s="5">
        <v>150.291969902913</v>
      </c>
      <c r="G5" s="5">
        <f t="shared" si="0"/>
        <v>0.94154839118789702</v>
      </c>
      <c r="H5" s="5">
        <f t="shared" si="1"/>
        <v>143797.427197304</v>
      </c>
    </row>
    <row r="6" spans="1:8" x14ac:dyDescent="0.25">
      <c r="A6" s="4" t="s">
        <v>12</v>
      </c>
      <c r="B6" s="4" t="s">
        <v>8</v>
      </c>
      <c r="C6" s="4">
        <v>30</v>
      </c>
      <c r="D6" s="5">
        <v>471.56237943225</v>
      </c>
      <c r="E6" s="5">
        <v>411.18073534191598</v>
      </c>
      <c r="F6" s="5">
        <v>165.1366338645</v>
      </c>
      <c r="G6" s="5">
        <f t="shared" si="0"/>
        <v>1.14684939954719</v>
      </c>
      <c r="H6" s="5">
        <f t="shared" si="1"/>
        <v>244642.80682634201</v>
      </c>
    </row>
    <row r="7" spans="1:8" x14ac:dyDescent="0.25">
      <c r="A7" s="4" t="s">
        <v>13</v>
      </c>
      <c r="B7" s="4" t="s">
        <v>8</v>
      </c>
      <c r="C7" s="4">
        <v>30</v>
      </c>
      <c r="D7" s="5">
        <v>417.57930593311801</v>
      </c>
      <c r="E7" s="5">
        <v>509.36343392664497</v>
      </c>
      <c r="F7" s="5">
        <v>149.37653460086301</v>
      </c>
      <c r="G7" s="5">
        <f t="shared" si="0"/>
        <v>0.81980620931901205</v>
      </c>
      <c r="H7" s="5">
        <f t="shared" si="1"/>
        <v>195961.710109459</v>
      </c>
    </row>
    <row r="8" spans="1:8" x14ac:dyDescent="0.25">
      <c r="A8" s="4" t="s">
        <v>14</v>
      </c>
      <c r="B8" s="4" t="s">
        <v>8</v>
      </c>
      <c r="C8" s="4">
        <v>60</v>
      </c>
      <c r="D8" s="5">
        <v>400.15007163360099</v>
      </c>
      <c r="E8" s="5">
        <v>525.83492434571599</v>
      </c>
      <c r="F8" s="5">
        <v>161.82026443647101</v>
      </c>
      <c r="G8" s="5">
        <f t="shared" si="0"/>
        <v>0.760980401085946</v>
      </c>
      <c r="H8" s="5">
        <f t="shared" si="1"/>
        <v>203425.634001937</v>
      </c>
    </row>
    <row r="9" spans="1:8" x14ac:dyDescent="0.25">
      <c r="A9" s="4" t="s">
        <v>15</v>
      </c>
      <c r="B9" s="4" t="s">
        <v>8</v>
      </c>
      <c r="C9" s="4">
        <v>60</v>
      </c>
      <c r="D9" s="5">
        <v>266.96790609002699</v>
      </c>
      <c r="E9" s="5">
        <v>491.27068719108598</v>
      </c>
      <c r="F9" s="5">
        <v>147.95572225286901</v>
      </c>
      <c r="G9" s="5">
        <f t="shared" si="0"/>
        <v>0.543423234991805</v>
      </c>
      <c r="H9" s="5">
        <f t="shared" si="1"/>
        <v>124091.117110573</v>
      </c>
    </row>
    <row r="10" spans="1:8" x14ac:dyDescent="0.25">
      <c r="A10" s="4" t="s">
        <v>16</v>
      </c>
      <c r="B10" s="4" t="s">
        <v>8</v>
      </c>
      <c r="C10" s="4">
        <v>60</v>
      </c>
      <c r="D10" s="5">
        <v>385.08424344004197</v>
      </c>
      <c r="E10" s="5">
        <v>597.91316254263995</v>
      </c>
      <c r="F10" s="5">
        <v>172.28726821044299</v>
      </c>
      <c r="G10" s="5">
        <f t="shared" si="0"/>
        <v>0.644047108450435</v>
      </c>
      <c r="H10" s="5">
        <f t="shared" si="1"/>
        <v>208429.31750747701</v>
      </c>
    </row>
    <row r="11" spans="1:8" x14ac:dyDescent="0.25">
      <c r="A11" s="4" t="s">
        <v>17</v>
      </c>
      <c r="B11" s="4" t="s">
        <v>8</v>
      </c>
      <c r="C11" s="4">
        <v>60</v>
      </c>
      <c r="D11" s="5">
        <v>337.81845627333797</v>
      </c>
      <c r="E11" s="5">
        <v>569.85033969380197</v>
      </c>
      <c r="F11" s="5">
        <v>175.16563267363699</v>
      </c>
      <c r="G11" s="5">
        <f t="shared" si="0"/>
        <v>0.59281961024162599</v>
      </c>
      <c r="H11" s="5">
        <f t="shared" si="1"/>
        <v>185901.18054889399</v>
      </c>
    </row>
    <row r="12" spans="1:8" x14ac:dyDescent="0.25">
      <c r="A12" s="4" t="s">
        <v>18</v>
      </c>
      <c r="B12" s="4" t="s">
        <v>8</v>
      </c>
      <c r="C12" s="4">
        <v>60</v>
      </c>
      <c r="D12" s="5">
        <v>397.96391471413199</v>
      </c>
      <c r="E12" s="5">
        <v>509.43589142394802</v>
      </c>
      <c r="F12" s="5">
        <v>181.02476447680701</v>
      </c>
      <c r="G12" s="5">
        <f t="shared" si="0"/>
        <v>0.781185466932384</v>
      </c>
      <c r="H12" s="5">
        <f t="shared" si="1"/>
        <v>226324.49401774901</v>
      </c>
    </row>
    <row r="13" spans="1:8" x14ac:dyDescent="0.25">
      <c r="A13" s="4" t="s">
        <v>19</v>
      </c>
      <c r="B13" s="4" t="s">
        <v>8</v>
      </c>
      <c r="C13" s="4">
        <v>60</v>
      </c>
      <c r="D13" s="5">
        <v>346.409379761016</v>
      </c>
      <c r="E13" s="5">
        <v>426.87372078665697</v>
      </c>
      <c r="F13" s="5">
        <v>160.34444838187699</v>
      </c>
      <c r="G13" s="5">
        <f t="shared" si="0"/>
        <v>0.81150317504352698</v>
      </c>
      <c r="H13" s="5">
        <f t="shared" si="1"/>
        <v>174499.20132237699</v>
      </c>
    </row>
    <row r="14" spans="1:8" x14ac:dyDescent="0.25">
      <c r="A14" s="4" t="s">
        <v>20</v>
      </c>
      <c r="B14" s="4" t="s">
        <v>8</v>
      </c>
      <c r="C14" s="4">
        <v>90</v>
      </c>
      <c r="D14" s="5">
        <v>488.05523535367502</v>
      </c>
      <c r="E14" s="5">
        <v>516.26282094313501</v>
      </c>
      <c r="F14" s="5">
        <v>182.36073890430001</v>
      </c>
      <c r="G14" s="5">
        <f t="shared" si="0"/>
        <v>0.94536196594996103</v>
      </c>
      <c r="H14" s="5">
        <f t="shared" si="1"/>
        <v>279608.38543927198</v>
      </c>
    </row>
    <row r="15" spans="1:8" x14ac:dyDescent="0.25">
      <c r="A15" s="4" t="s">
        <v>21</v>
      </c>
      <c r="B15" s="4" t="s">
        <v>8</v>
      </c>
      <c r="C15" s="4">
        <v>90</v>
      </c>
      <c r="D15" s="5">
        <v>421.299719104291</v>
      </c>
      <c r="E15" s="5">
        <v>475.63169553711202</v>
      </c>
      <c r="F15" s="5">
        <v>158.33475726589401</v>
      </c>
      <c r="G15" s="5">
        <f t="shared" si="0"/>
        <v>0.88576880611064801</v>
      </c>
      <c r="H15" s="5">
        <f t="shared" si="1"/>
        <v>209564.300877703</v>
      </c>
    </row>
    <row r="16" spans="1:8" x14ac:dyDescent="0.25">
      <c r="A16" s="4" t="s">
        <v>22</v>
      </c>
      <c r="B16" s="4" t="s">
        <v>8</v>
      </c>
      <c r="C16" s="4">
        <v>90</v>
      </c>
      <c r="D16" s="5">
        <v>399.28061223031301</v>
      </c>
      <c r="E16" s="5">
        <v>461.06975593311802</v>
      </c>
      <c r="F16" s="5">
        <v>152.37158840345199</v>
      </c>
      <c r="G16" s="5">
        <f t="shared" si="0"/>
        <v>0.86598742834963105</v>
      </c>
      <c r="H16" s="5">
        <f t="shared" si="1"/>
        <v>191131.421752661</v>
      </c>
    </row>
    <row r="17" spans="1:8" x14ac:dyDescent="0.25">
      <c r="A17" s="4" t="s">
        <v>23</v>
      </c>
      <c r="B17" s="4" t="s">
        <v>8</v>
      </c>
      <c r="C17" s="4">
        <v>90</v>
      </c>
      <c r="D17" s="5">
        <v>458.38631127926902</v>
      </c>
      <c r="E17" s="5">
        <v>483.75268769274697</v>
      </c>
      <c r="F17" s="5">
        <v>161.939522015991</v>
      </c>
      <c r="G17" s="5">
        <f t="shared" si="0"/>
        <v>0.94756333750937405</v>
      </c>
      <c r="H17" s="5">
        <f t="shared" si="1"/>
        <v>233203.12490821499</v>
      </c>
    </row>
    <row r="18" spans="1:8" x14ac:dyDescent="0.25">
      <c r="A18" s="4" t="s">
        <v>24</v>
      </c>
      <c r="B18" s="4" t="s">
        <v>8</v>
      </c>
      <c r="C18" s="4">
        <v>90</v>
      </c>
      <c r="D18" s="5">
        <v>368.15126351754998</v>
      </c>
      <c r="E18" s="5">
        <v>522.31337596465005</v>
      </c>
      <c r="F18" s="5">
        <v>147.03479223300999</v>
      </c>
      <c r="G18" s="5">
        <f t="shared" si="0"/>
        <v>0.70484747367922296</v>
      </c>
      <c r="H18" s="5">
        <f t="shared" si="1"/>
        <v>170057.69186310499</v>
      </c>
    </row>
    <row r="19" spans="1:8" x14ac:dyDescent="0.25">
      <c r="A19" s="4" t="s">
        <v>25</v>
      </c>
      <c r="B19" s="4" t="s">
        <v>8</v>
      </c>
      <c r="C19" s="4">
        <v>90</v>
      </c>
      <c r="D19" s="5">
        <v>449.84615588747801</v>
      </c>
      <c r="E19" s="5">
        <v>457.13463975603702</v>
      </c>
      <c r="F19" s="5">
        <v>163.52606106547199</v>
      </c>
      <c r="G19" s="5">
        <f t="shared" si="0"/>
        <v>0.98405615493840304</v>
      </c>
      <c r="H19" s="5">
        <f t="shared" si="1"/>
        <v>231100.48776571601</v>
      </c>
    </row>
    <row r="20" spans="1:8" x14ac:dyDescent="0.25">
      <c r="A20" s="4" t="s">
        <v>26</v>
      </c>
      <c r="B20" s="4" t="s">
        <v>8</v>
      </c>
      <c r="C20" s="4">
        <v>150</v>
      </c>
      <c r="D20" s="5">
        <v>515.40635079327501</v>
      </c>
      <c r="E20" s="5">
        <v>476.16902856973701</v>
      </c>
      <c r="F20" s="5">
        <v>187.71161154392601</v>
      </c>
      <c r="G20" s="5">
        <f t="shared" si="0"/>
        <v>1.08240208805977</v>
      </c>
      <c r="H20" s="5">
        <f t="shared" si="1"/>
        <v>303942.04172319698</v>
      </c>
    </row>
    <row r="21" spans="1:8" x14ac:dyDescent="0.25">
      <c r="A21" s="4" t="s">
        <v>27</v>
      </c>
      <c r="B21" s="4" t="s">
        <v>8</v>
      </c>
      <c r="C21" s="4">
        <v>150</v>
      </c>
      <c r="D21" s="5">
        <v>457.22852143645201</v>
      </c>
      <c r="E21" s="5">
        <v>467.94989599514599</v>
      </c>
      <c r="F21" s="5">
        <v>202.67107796778501</v>
      </c>
      <c r="G21" s="5">
        <f t="shared" si="0"/>
        <v>0.97708862711488798</v>
      </c>
      <c r="H21" s="5">
        <f t="shared" si="1"/>
        <v>291121.95800175902</v>
      </c>
    </row>
    <row r="22" spans="1:8" x14ac:dyDescent="0.25">
      <c r="A22" s="4" t="s">
        <v>28</v>
      </c>
      <c r="B22" s="4" t="s">
        <v>8</v>
      </c>
      <c r="C22" s="4">
        <v>150</v>
      </c>
      <c r="D22" s="5">
        <v>445.04265230582502</v>
      </c>
      <c r="E22" s="5">
        <v>554.92562931499504</v>
      </c>
      <c r="F22" s="5">
        <v>180.52914363538301</v>
      </c>
      <c r="G22" s="5">
        <f t="shared" si="0"/>
        <v>0.80198611993320501</v>
      </c>
      <c r="H22" s="5">
        <f t="shared" si="1"/>
        <v>252405.50918861601</v>
      </c>
    </row>
    <row r="23" spans="1:8" x14ac:dyDescent="0.25">
      <c r="A23" s="4" t="s">
        <v>29</v>
      </c>
      <c r="B23" s="4" t="s">
        <v>8</v>
      </c>
      <c r="C23" s="4">
        <v>150</v>
      </c>
      <c r="D23" s="5">
        <v>405.947438034637</v>
      </c>
      <c r="E23" s="5">
        <v>514.544768171084</v>
      </c>
      <c r="F23" s="5">
        <v>189.71844236420901</v>
      </c>
      <c r="G23" s="5">
        <f t="shared" si="0"/>
        <v>0.78894483657379499</v>
      </c>
      <c r="H23" s="5">
        <f t="shared" si="1"/>
        <v>241952.00642057401</v>
      </c>
    </row>
    <row r="24" spans="1:8" x14ac:dyDescent="0.25">
      <c r="A24" s="4" t="s">
        <v>30</v>
      </c>
      <c r="B24" s="4" t="s">
        <v>8</v>
      </c>
      <c r="C24" s="4">
        <v>150</v>
      </c>
      <c r="D24" s="5">
        <v>407.47350196542698</v>
      </c>
      <c r="E24" s="5">
        <v>537.95189109637704</v>
      </c>
      <c r="F24" s="5">
        <v>186.864525479517</v>
      </c>
      <c r="G24" s="5">
        <f t="shared" si="0"/>
        <v>0.75745342419927597</v>
      </c>
      <c r="H24" s="5">
        <f t="shared" si="1"/>
        <v>239208.224108636</v>
      </c>
    </row>
    <row r="25" spans="1:8" x14ac:dyDescent="0.25">
      <c r="A25" s="4" t="s">
        <v>31</v>
      </c>
      <c r="B25" s="4" t="s">
        <v>8</v>
      </c>
      <c r="C25" s="4">
        <v>150</v>
      </c>
      <c r="D25" s="5">
        <v>450.39360210356</v>
      </c>
      <c r="E25" s="5">
        <v>551.14430190440601</v>
      </c>
      <c r="F25" s="5">
        <v>153.43893624595501</v>
      </c>
      <c r="G25" s="5">
        <f t="shared" si="0"/>
        <v>0.81719723953832901</v>
      </c>
      <c r="H25" s="5">
        <f t="shared" si="1"/>
        <v>217108.918693313</v>
      </c>
    </row>
    <row r="26" spans="1:8" x14ac:dyDescent="0.25">
      <c r="A26" s="4" t="s">
        <v>32</v>
      </c>
      <c r="B26" s="4" t="s">
        <v>8</v>
      </c>
      <c r="C26" s="4">
        <v>210</v>
      </c>
      <c r="D26" s="5">
        <v>544.65154418946804</v>
      </c>
      <c r="E26" s="5">
        <v>373.127503677552</v>
      </c>
      <c r="F26" s="5">
        <v>116.687838908502</v>
      </c>
      <c r="G26" s="5">
        <f t="shared" si="0"/>
        <v>1.45969283642018</v>
      </c>
      <c r="H26" s="5">
        <f t="shared" si="1"/>
        <v>199661.444423223</v>
      </c>
    </row>
    <row r="27" spans="1:8" x14ac:dyDescent="0.25">
      <c r="A27" s="4" t="s">
        <v>33</v>
      </c>
      <c r="B27" s="4" t="s">
        <v>8</v>
      </c>
      <c r="C27" s="4">
        <v>210</v>
      </c>
      <c r="D27" s="5">
        <v>439.25512236817099</v>
      </c>
      <c r="E27" s="5">
        <v>278.91046887492899</v>
      </c>
      <c r="F27" s="5">
        <v>130.55388533219099</v>
      </c>
      <c r="G27" s="5">
        <f t="shared" si="0"/>
        <v>1.5748965040288401</v>
      </c>
      <c r="H27" s="5">
        <f t="shared" si="1"/>
        <v>180159.226484471</v>
      </c>
    </row>
    <row r="28" spans="1:8" x14ac:dyDescent="0.25">
      <c r="A28" s="4" t="s">
        <v>34</v>
      </c>
      <c r="B28" s="4" t="s">
        <v>8</v>
      </c>
      <c r="C28" s="4">
        <v>210</v>
      </c>
      <c r="D28" s="5">
        <v>445.21982710124797</v>
      </c>
      <c r="E28" s="5">
        <v>496.38760492371699</v>
      </c>
      <c r="F28" s="5">
        <v>158.01062575589501</v>
      </c>
      <c r="G28" s="5">
        <f t="shared" si="0"/>
        <v>0.89691971089742994</v>
      </c>
      <c r="H28" s="5">
        <f t="shared" si="1"/>
        <v>221009.35765023701</v>
      </c>
    </row>
    <row r="29" spans="1:8" x14ac:dyDescent="0.25">
      <c r="A29" s="4" t="s">
        <v>35</v>
      </c>
      <c r="B29" s="4" t="s">
        <v>8</v>
      </c>
      <c r="C29" s="4">
        <v>210</v>
      </c>
      <c r="D29" s="5">
        <v>592.53601385844001</v>
      </c>
      <c r="E29" s="5">
        <v>486.33699387723101</v>
      </c>
      <c r="F29" s="5">
        <v>161.737148481052</v>
      </c>
      <c r="G29" s="5">
        <f t="shared" si="0"/>
        <v>1.21836508700388</v>
      </c>
      <c r="H29" s="5">
        <f t="shared" si="1"/>
        <v>301074.799789468</v>
      </c>
    </row>
    <row r="30" spans="1:8" x14ac:dyDescent="0.25">
      <c r="A30" s="4" t="s">
        <v>36</v>
      </c>
      <c r="B30" s="4" t="s">
        <v>8</v>
      </c>
      <c r="C30" s="4">
        <v>210</v>
      </c>
      <c r="D30" s="5">
        <v>537.64385691451605</v>
      </c>
      <c r="E30" s="5">
        <v>499.90260369405598</v>
      </c>
      <c r="F30" s="5">
        <v>169.20930726971301</v>
      </c>
      <c r="G30" s="5">
        <f t="shared" si="0"/>
        <v>1.0754972127401801</v>
      </c>
      <c r="H30" s="5">
        <f t="shared" si="1"/>
        <v>285804.33261753502</v>
      </c>
    </row>
    <row r="31" spans="1:8" x14ac:dyDescent="0.25">
      <c r="A31" s="4" t="s">
        <v>37</v>
      </c>
      <c r="B31" s="4" t="s">
        <v>8</v>
      </c>
      <c r="C31" s="4">
        <v>210</v>
      </c>
      <c r="D31" s="5">
        <v>532.44240252014004</v>
      </c>
      <c r="E31" s="5">
        <v>435.896183918612</v>
      </c>
      <c r="F31" s="5">
        <v>170.573511041107</v>
      </c>
      <c r="G31" s="5">
        <f t="shared" si="0"/>
        <v>1.2214890200083801</v>
      </c>
      <c r="H31" s="5">
        <f t="shared" si="1"/>
        <v>285321.23558544897</v>
      </c>
    </row>
    <row r="32" spans="1:8" x14ac:dyDescent="0.25">
      <c r="A32" s="4" t="s">
        <v>38</v>
      </c>
      <c r="B32" s="4" t="s">
        <v>8</v>
      </c>
      <c r="C32" s="4">
        <v>300</v>
      </c>
      <c r="D32" s="5">
        <v>423.077265993178</v>
      </c>
      <c r="E32" s="5">
        <v>338.45534068486</v>
      </c>
      <c r="F32" s="5">
        <v>147.22902173970101</v>
      </c>
      <c r="G32" s="5">
        <f t="shared" si="0"/>
        <v>1.25002390311551</v>
      </c>
      <c r="H32" s="5">
        <f t="shared" si="1"/>
        <v>195687.456457188</v>
      </c>
    </row>
    <row r="33" spans="1:8" x14ac:dyDescent="0.25">
      <c r="A33" s="4" t="s">
        <v>39</v>
      </c>
      <c r="B33" s="4" t="s">
        <v>8</v>
      </c>
      <c r="C33" s="4">
        <v>300</v>
      </c>
      <c r="D33" s="5">
        <v>516.93720671289896</v>
      </c>
      <c r="E33" s="5">
        <v>560.39081589459101</v>
      </c>
      <c r="F33" s="5">
        <v>210.802363467406</v>
      </c>
      <c r="G33" s="5">
        <f t="shared" si="0"/>
        <v>0.92245838448953899</v>
      </c>
      <c r="H33" s="5">
        <f t="shared" si="1"/>
        <v>342344.33069539798</v>
      </c>
    </row>
    <row r="34" spans="1:8" x14ac:dyDescent="0.25">
      <c r="A34" s="4" t="s">
        <v>40</v>
      </c>
      <c r="B34" s="4" t="s">
        <v>8</v>
      </c>
      <c r="C34" s="4">
        <v>300</v>
      </c>
      <c r="D34" s="5">
        <v>502.55792570608997</v>
      </c>
      <c r="E34" s="5">
        <v>473.91999961385699</v>
      </c>
      <c r="F34" s="5">
        <v>155.95362163504001</v>
      </c>
      <c r="G34" s="5">
        <f t="shared" si="0"/>
        <v>1.0604277644234601</v>
      </c>
      <c r="H34" s="5">
        <f t="shared" si="1"/>
        <v>246224.61317461001</v>
      </c>
    </row>
    <row r="35" spans="1:8" x14ac:dyDescent="0.25">
      <c r="A35" s="4" t="s">
        <v>41</v>
      </c>
      <c r="B35" s="4" t="s">
        <v>8</v>
      </c>
      <c r="C35" s="4">
        <v>300</v>
      </c>
      <c r="D35" s="5">
        <v>372.91593836299899</v>
      </c>
      <c r="E35" s="5">
        <v>350.24820591963299</v>
      </c>
      <c r="F35" s="5">
        <v>169.16628739212501</v>
      </c>
      <c r="G35" s="5">
        <f t="shared" si="0"/>
        <v>1.0647190536889399</v>
      </c>
      <c r="H35" s="5">
        <f t="shared" si="1"/>
        <v>198186.759319798</v>
      </c>
    </row>
    <row r="36" spans="1:8" x14ac:dyDescent="0.25">
      <c r="A36" s="4" t="s">
        <v>42</v>
      </c>
      <c r="B36" s="4" t="s">
        <v>8</v>
      </c>
      <c r="C36" s="4">
        <v>300</v>
      </c>
      <c r="D36" s="5">
        <v>314.42586102346303</v>
      </c>
      <c r="E36" s="5">
        <v>384.44276644417499</v>
      </c>
      <c r="F36" s="5">
        <v>157.446054490291</v>
      </c>
      <c r="G36" s="5">
        <f t="shared" si="0"/>
        <v>0.81787430657541305</v>
      </c>
      <c r="H36" s="5">
        <f t="shared" si="1"/>
        <v>155524.89381141201</v>
      </c>
    </row>
    <row r="37" spans="1:8" x14ac:dyDescent="0.25">
      <c r="A37" s="4" t="s">
        <v>43</v>
      </c>
      <c r="B37" s="4" t="s">
        <v>8</v>
      </c>
      <c r="C37" s="4">
        <v>300</v>
      </c>
      <c r="D37" s="5">
        <v>383.83930880346401</v>
      </c>
      <c r="E37" s="5">
        <v>429.82463265547102</v>
      </c>
      <c r="F37" s="5">
        <v>143.78661851220201</v>
      </c>
      <c r="G37" s="5">
        <f t="shared" si="0"/>
        <v>0.89301375407940597</v>
      </c>
      <c r="H37" s="5">
        <f t="shared" si="1"/>
        <v>173387.50274644</v>
      </c>
    </row>
    <row r="38" spans="1:8" x14ac:dyDescent="0.25">
      <c r="A38" s="4" t="s">
        <v>44</v>
      </c>
      <c r="B38" s="4" t="s">
        <v>45</v>
      </c>
      <c r="C38" s="4">
        <v>30</v>
      </c>
      <c r="D38" s="5">
        <v>271.67919090333498</v>
      </c>
      <c r="E38" s="5">
        <v>449.72407427184498</v>
      </c>
      <c r="F38" s="5">
        <v>138.43731621992401</v>
      </c>
      <c r="G38" s="5">
        <f t="shared" si="0"/>
        <v>0.60410195149818202</v>
      </c>
      <c r="H38" s="5">
        <f t="shared" si="1"/>
        <v>118156.990071436</v>
      </c>
    </row>
    <row r="39" spans="1:8" x14ac:dyDescent="0.25">
      <c r="A39" s="4" t="s">
        <v>46</v>
      </c>
      <c r="B39" s="4" t="s">
        <v>45</v>
      </c>
      <c r="C39" s="4">
        <v>30</v>
      </c>
      <c r="D39" s="5">
        <v>353.65228485777601</v>
      </c>
      <c r="E39" s="5">
        <v>377.78853318003797</v>
      </c>
      <c r="F39" s="5">
        <v>160.33135871231499</v>
      </c>
      <c r="G39" s="5">
        <f t="shared" si="0"/>
        <v>0.93611174982179901</v>
      </c>
      <c r="H39" s="5">
        <f t="shared" si="1"/>
        <v>178133.17714619401</v>
      </c>
    </row>
    <row r="40" spans="1:8" x14ac:dyDescent="0.25">
      <c r="A40" s="4" t="s">
        <v>47</v>
      </c>
      <c r="B40" s="4" t="s">
        <v>45</v>
      </c>
      <c r="C40" s="4">
        <v>30</v>
      </c>
      <c r="D40" s="5">
        <v>432.10292709880099</v>
      </c>
      <c r="E40" s="5">
        <v>432.92782712735601</v>
      </c>
      <c r="F40" s="5">
        <v>184.099075813821</v>
      </c>
      <c r="G40" s="5">
        <f t="shared" si="0"/>
        <v>0.99809460150892004</v>
      </c>
      <c r="H40" s="5">
        <f t="shared" si="1"/>
        <v>249912.90873512</v>
      </c>
    </row>
    <row r="41" spans="1:8" x14ac:dyDescent="0.25">
      <c r="A41" s="4" t="s">
        <v>48</v>
      </c>
      <c r="B41" s="4" t="s">
        <v>45</v>
      </c>
      <c r="C41" s="4">
        <v>30</v>
      </c>
      <c r="D41" s="5">
        <v>298.40091405509202</v>
      </c>
      <c r="E41" s="5">
        <v>399.59399367803098</v>
      </c>
      <c r="F41" s="5">
        <v>154.80612097538901</v>
      </c>
      <c r="G41" s="5">
        <f t="shared" si="0"/>
        <v>0.74676025860270001</v>
      </c>
      <c r="H41" s="5">
        <f t="shared" si="1"/>
        <v>145123.63581980299</v>
      </c>
    </row>
    <row r="42" spans="1:8" x14ac:dyDescent="0.25">
      <c r="A42" s="4" t="s">
        <v>49</v>
      </c>
      <c r="B42" s="4" t="s">
        <v>45</v>
      </c>
      <c r="C42" s="4">
        <v>30</v>
      </c>
      <c r="D42" s="5">
        <v>229.43194792586101</v>
      </c>
      <c r="E42" s="5">
        <v>471.57164982347803</v>
      </c>
      <c r="F42" s="5">
        <v>145.56066945057401</v>
      </c>
      <c r="G42" s="5">
        <f t="shared" si="0"/>
        <v>0.486526168423703</v>
      </c>
      <c r="H42" s="5">
        <f t="shared" si="1"/>
        <v>104917.46999700399</v>
      </c>
    </row>
    <row r="43" spans="1:8" x14ac:dyDescent="0.25">
      <c r="A43" s="4" t="s">
        <v>50</v>
      </c>
      <c r="B43" s="4" t="s">
        <v>45</v>
      </c>
      <c r="C43" s="4">
        <v>30</v>
      </c>
      <c r="D43" s="5">
        <v>263.30262953335398</v>
      </c>
      <c r="E43" s="5">
        <v>379.85256832132802</v>
      </c>
      <c r="F43" s="5">
        <v>147.8290747886</v>
      </c>
      <c r="G43" s="5">
        <f t="shared" si="0"/>
        <v>0.69317059167708195</v>
      </c>
      <c r="H43" s="5">
        <f t="shared" si="1"/>
        <v>122282.674220325</v>
      </c>
    </row>
    <row r="44" spans="1:8" x14ac:dyDescent="0.25">
      <c r="A44" s="4" t="s">
        <v>51</v>
      </c>
      <c r="B44" s="4" t="s">
        <v>45</v>
      </c>
      <c r="C44" s="4">
        <v>60</v>
      </c>
      <c r="D44" s="5">
        <v>503.40590151894799</v>
      </c>
      <c r="E44" s="5">
        <v>653.74887835891002</v>
      </c>
      <c r="F44" s="5">
        <v>204.94356287190701</v>
      </c>
      <c r="G44" s="5">
        <f t="shared" si="0"/>
        <v>0.77002946878109502</v>
      </c>
      <c r="H44" s="5">
        <f t="shared" si="1"/>
        <v>324117.48269881803</v>
      </c>
    </row>
    <row r="45" spans="1:8" x14ac:dyDescent="0.25">
      <c r="A45" s="4" t="s">
        <v>52</v>
      </c>
      <c r="B45" s="4" t="s">
        <v>45</v>
      </c>
      <c r="C45" s="4">
        <v>60</v>
      </c>
      <c r="D45" s="5">
        <v>333.88530729626399</v>
      </c>
      <c r="E45" s="5">
        <v>575.55975130920899</v>
      </c>
      <c r="F45" s="5">
        <v>190.720729508679</v>
      </c>
      <c r="G45" s="5">
        <f t="shared" si="0"/>
        <v>0.58010537835000597</v>
      </c>
      <c r="H45" s="5">
        <f t="shared" si="1"/>
        <v>200053.00540054601</v>
      </c>
    </row>
    <row r="46" spans="1:8" x14ac:dyDescent="0.25">
      <c r="A46" s="4" t="s">
        <v>53</v>
      </c>
      <c r="B46" s="4" t="s">
        <v>45</v>
      </c>
      <c r="C46" s="4">
        <v>60</v>
      </c>
      <c r="D46" s="5">
        <v>415.67839792278198</v>
      </c>
      <c r="E46" s="5">
        <v>482.92056638067299</v>
      </c>
      <c r="F46" s="5">
        <v>182.20084394897299</v>
      </c>
      <c r="G46" s="5">
        <f t="shared" si="0"/>
        <v>0.86075936056762203</v>
      </c>
      <c r="H46" s="5">
        <f t="shared" si="1"/>
        <v>237934.66115959</v>
      </c>
    </row>
    <row r="47" spans="1:8" x14ac:dyDescent="0.25">
      <c r="A47" s="4" t="s">
        <v>54</v>
      </c>
      <c r="B47" s="4" t="s">
        <v>45</v>
      </c>
      <c r="C47" s="4">
        <v>60</v>
      </c>
      <c r="D47" s="5">
        <v>342.18098022236097</v>
      </c>
      <c r="E47" s="5">
        <v>541.47372156279403</v>
      </c>
      <c r="F47" s="5">
        <v>198.25515775133101</v>
      </c>
      <c r="G47" s="5">
        <f t="shared" si="0"/>
        <v>0.63194383512234498</v>
      </c>
      <c r="H47" s="5">
        <f t="shared" si="1"/>
        <v>213122.95708691599</v>
      </c>
    </row>
    <row r="48" spans="1:8" x14ac:dyDescent="0.25">
      <c r="A48" s="4" t="s">
        <v>55</v>
      </c>
      <c r="B48" s="4" t="s">
        <v>45</v>
      </c>
      <c r="C48" s="4">
        <v>60</v>
      </c>
      <c r="D48" s="5">
        <v>419.87256044472298</v>
      </c>
      <c r="E48" s="5">
        <v>501.88474387723198</v>
      </c>
      <c r="F48" s="5">
        <v>232.86565869088599</v>
      </c>
      <c r="G48" s="5">
        <f t="shared" si="0"/>
        <v>0.836591599101147</v>
      </c>
      <c r="H48" s="5">
        <f t="shared" si="1"/>
        <v>307165.767065541</v>
      </c>
    </row>
    <row r="49" spans="1:8" x14ac:dyDescent="0.25">
      <c r="A49" s="4" t="s">
        <v>56</v>
      </c>
      <c r="B49" s="4" t="s">
        <v>45</v>
      </c>
      <c r="C49" s="4">
        <v>60</v>
      </c>
      <c r="D49" s="5">
        <v>424.993014090445</v>
      </c>
      <c r="E49" s="5">
        <v>506.65267856412902</v>
      </c>
      <c r="F49" s="5">
        <v>182.681457652018</v>
      </c>
      <c r="G49" s="5">
        <f t="shared" si="0"/>
        <v>0.83882515986077399</v>
      </c>
      <c r="H49" s="5">
        <f t="shared" si="1"/>
        <v>243908.048966909</v>
      </c>
    </row>
    <row r="50" spans="1:8" x14ac:dyDescent="0.25">
      <c r="A50" s="4" t="s">
        <v>57</v>
      </c>
      <c r="B50" s="4" t="s">
        <v>45</v>
      </c>
      <c r="C50" s="4">
        <v>90</v>
      </c>
      <c r="D50" s="5">
        <v>445.69464042365399</v>
      </c>
      <c r="E50" s="5">
        <v>447.34825139746999</v>
      </c>
      <c r="F50" s="5">
        <v>181.80079110032401</v>
      </c>
      <c r="G50" s="5">
        <f t="shared" si="0"/>
        <v>0.99630352646143105</v>
      </c>
      <c r="H50" s="5">
        <f t="shared" si="1"/>
        <v>254555.83296401199</v>
      </c>
    </row>
    <row r="51" spans="1:8" x14ac:dyDescent="0.25">
      <c r="A51" s="4" t="s">
        <v>58</v>
      </c>
      <c r="B51" s="4" t="s">
        <v>45</v>
      </c>
      <c r="C51" s="4">
        <v>90</v>
      </c>
      <c r="D51" s="5">
        <v>409.63918359811697</v>
      </c>
      <c r="E51" s="5">
        <v>611.64690641365098</v>
      </c>
      <c r="F51" s="5">
        <v>207.535327611062</v>
      </c>
      <c r="G51" s="5">
        <f t="shared" si="0"/>
        <v>0.66973147301603797</v>
      </c>
      <c r="H51" s="5">
        <f t="shared" si="1"/>
        <v>267081.24962627201</v>
      </c>
    </row>
    <row r="52" spans="1:8" x14ac:dyDescent="0.25">
      <c r="A52" s="4" t="s">
        <v>59</v>
      </c>
      <c r="B52" s="4" t="s">
        <v>45</v>
      </c>
      <c r="C52" s="4">
        <v>90</v>
      </c>
      <c r="D52" s="5">
        <v>336.03251277305799</v>
      </c>
      <c r="E52" s="5">
        <v>560.86490955703903</v>
      </c>
      <c r="F52" s="5">
        <v>169.29648064320401</v>
      </c>
      <c r="G52" s="5">
        <f t="shared" si="0"/>
        <v>0.59913270922663098</v>
      </c>
      <c r="H52" s="5">
        <f t="shared" si="1"/>
        <v>178722.44709774299</v>
      </c>
    </row>
    <row r="53" spans="1:8" x14ac:dyDescent="0.25">
      <c r="A53" s="4" t="s">
        <v>60</v>
      </c>
      <c r="B53" s="4" t="s">
        <v>45</v>
      </c>
      <c r="C53" s="4">
        <v>90</v>
      </c>
      <c r="D53" s="5">
        <v>351.78404609223298</v>
      </c>
      <c r="E53" s="5">
        <v>550.58654917475701</v>
      </c>
      <c r="F53" s="5">
        <v>200.983236941748</v>
      </c>
      <c r="G53" s="5">
        <f t="shared" si="0"/>
        <v>0.63892597198297396</v>
      </c>
      <c r="H53" s="5">
        <f t="shared" si="1"/>
        <v>222119.07124762901</v>
      </c>
    </row>
    <row r="54" spans="1:8" x14ac:dyDescent="0.25">
      <c r="A54" s="4" t="s">
        <v>61</v>
      </c>
      <c r="B54" s="4" t="s">
        <v>45</v>
      </c>
      <c r="C54" s="4">
        <v>90</v>
      </c>
      <c r="D54" s="5">
        <v>377.95070245415297</v>
      </c>
      <c r="E54" s="5">
        <v>473.11927688780997</v>
      </c>
      <c r="F54" s="5">
        <v>206.64630400485399</v>
      </c>
      <c r="G54" s="5">
        <f t="shared" si="0"/>
        <v>0.79884866442205005</v>
      </c>
      <c r="H54" s="5">
        <f t="shared" si="1"/>
        <v>245365.03309574601</v>
      </c>
    </row>
    <row r="55" spans="1:8" x14ac:dyDescent="0.25">
      <c r="A55" s="4" t="s">
        <v>62</v>
      </c>
      <c r="B55" s="4" t="s">
        <v>45</v>
      </c>
      <c r="C55" s="4">
        <v>90</v>
      </c>
      <c r="D55" s="5">
        <v>392.25062110373</v>
      </c>
      <c r="E55" s="5">
        <v>462.79761281297903</v>
      </c>
      <c r="F55" s="5">
        <v>137.91690571027101</v>
      </c>
      <c r="G55" s="5">
        <f t="shared" si="0"/>
        <v>0.84756405444606797</v>
      </c>
      <c r="H55" s="5">
        <f t="shared" si="1"/>
        <v>169953.85400729399</v>
      </c>
    </row>
    <row r="56" spans="1:8" x14ac:dyDescent="0.25">
      <c r="A56" s="4" t="s">
        <v>63</v>
      </c>
      <c r="B56" s="4" t="s">
        <v>45</v>
      </c>
      <c r="C56" s="4">
        <v>150</v>
      </c>
      <c r="D56" s="5">
        <v>368.04775739482199</v>
      </c>
      <c r="E56" s="5">
        <v>695.963278802589</v>
      </c>
      <c r="F56" s="5">
        <v>184.501673640777</v>
      </c>
      <c r="G56" s="5">
        <f t="shared" si="0"/>
        <v>0.52883215049513999</v>
      </c>
      <c r="H56" s="5">
        <f t="shared" si="1"/>
        <v>213331.19129033599</v>
      </c>
    </row>
    <row r="57" spans="1:8" x14ac:dyDescent="0.25">
      <c r="A57" s="4" t="s">
        <v>64</v>
      </c>
      <c r="B57" s="4" t="s">
        <v>45</v>
      </c>
      <c r="C57" s="4">
        <v>150</v>
      </c>
      <c r="D57" s="5">
        <v>429.91270615323998</v>
      </c>
      <c r="E57" s="5">
        <v>578.69893003148798</v>
      </c>
      <c r="F57" s="5">
        <v>158.56956441878799</v>
      </c>
      <c r="G57" s="5">
        <f t="shared" si="0"/>
        <v>0.74289528430586105</v>
      </c>
      <c r="H57" s="5">
        <f t="shared" si="1"/>
        <v>214165.73443609601</v>
      </c>
    </row>
    <row r="58" spans="1:8" x14ac:dyDescent="0.25">
      <c r="A58" s="4" t="s">
        <v>65</v>
      </c>
      <c r="B58" s="4" t="s">
        <v>45</v>
      </c>
      <c r="C58" s="4">
        <v>150</v>
      </c>
      <c r="D58" s="5">
        <v>467.49135828184802</v>
      </c>
      <c r="E58" s="5">
        <v>548.88438146513704</v>
      </c>
      <c r="F58" s="5">
        <v>182.738941335687</v>
      </c>
      <c r="G58" s="5">
        <f t="shared" si="0"/>
        <v>0.85171189793007696</v>
      </c>
      <c r="H58" s="5">
        <f t="shared" si="1"/>
        <v>268382.72891933098</v>
      </c>
    </row>
    <row r="59" spans="1:8" x14ac:dyDescent="0.25">
      <c r="A59" s="4" t="s">
        <v>66</v>
      </c>
      <c r="B59" s="4" t="s">
        <v>45</v>
      </c>
      <c r="C59" s="4">
        <v>150</v>
      </c>
      <c r="D59" s="5">
        <v>450.70820305539701</v>
      </c>
      <c r="E59" s="5">
        <v>661.53041747572797</v>
      </c>
      <c r="F59" s="5">
        <v>160.835729725871</v>
      </c>
      <c r="G59" s="5">
        <f t="shared" si="0"/>
        <v>0.68131138213600595</v>
      </c>
      <c r="H59" s="5">
        <f t="shared" si="1"/>
        <v>227733.997209233</v>
      </c>
    </row>
    <row r="60" spans="1:8" x14ac:dyDescent="0.25">
      <c r="A60" s="4" t="s">
        <v>67</v>
      </c>
      <c r="B60" s="4" t="s">
        <v>45</v>
      </c>
      <c r="C60" s="4">
        <v>150</v>
      </c>
      <c r="D60" s="5">
        <v>376.28128913835002</v>
      </c>
      <c r="E60" s="5">
        <v>515.01873911407802</v>
      </c>
      <c r="F60" s="5">
        <v>162.88657716019401</v>
      </c>
      <c r="G60" s="5">
        <f t="shared" si="0"/>
        <v>0.730616695201459</v>
      </c>
      <c r="H60" s="5">
        <f t="shared" si="1"/>
        <v>192551.893288611</v>
      </c>
    </row>
    <row r="61" spans="1:8" x14ac:dyDescent="0.25">
      <c r="A61" s="4" t="s">
        <v>68</v>
      </c>
      <c r="B61" s="4" t="s">
        <v>45</v>
      </c>
      <c r="C61" s="4">
        <v>150</v>
      </c>
      <c r="D61" s="5">
        <v>263.20007621359201</v>
      </c>
      <c r="E61" s="5">
        <v>541.47648513176102</v>
      </c>
      <c r="F61" s="5">
        <v>150.25164474341199</v>
      </c>
      <c r="G61" s="5">
        <f t="shared" si="0"/>
        <v>0.486078497295309</v>
      </c>
      <c r="H61" s="5">
        <f t="shared" si="1"/>
        <v>124238.19071975</v>
      </c>
    </row>
    <row r="62" spans="1:8" x14ac:dyDescent="0.25">
      <c r="A62" s="4" t="s">
        <v>69</v>
      </c>
      <c r="B62" s="4" t="s">
        <v>45</v>
      </c>
      <c r="C62" s="4">
        <v>210</v>
      </c>
      <c r="D62" s="5">
        <v>324.85053362364403</v>
      </c>
      <c r="E62" s="5">
        <v>637.88874517418606</v>
      </c>
      <c r="F62" s="5">
        <v>152.06341329240399</v>
      </c>
      <c r="G62" s="5">
        <f t="shared" si="0"/>
        <v>0.50925892027604003</v>
      </c>
      <c r="H62" s="5">
        <f t="shared" si="1"/>
        <v>155188.019903812</v>
      </c>
    </row>
    <row r="63" spans="1:8" x14ac:dyDescent="0.25">
      <c r="A63" s="4" t="s">
        <v>70</v>
      </c>
      <c r="B63" s="4" t="s">
        <v>45</v>
      </c>
      <c r="C63" s="4">
        <v>210</v>
      </c>
      <c r="D63" s="5">
        <v>448.23368160075802</v>
      </c>
      <c r="E63" s="5">
        <v>548.37906838740196</v>
      </c>
      <c r="F63" s="5">
        <v>159.60430047359699</v>
      </c>
      <c r="G63" s="5">
        <f t="shared" si="0"/>
        <v>0.81737926817458995</v>
      </c>
      <c r="H63" s="5">
        <f t="shared" si="1"/>
        <v>224749.61132462899</v>
      </c>
    </row>
    <row r="64" spans="1:8" x14ac:dyDescent="0.25">
      <c r="A64" s="4" t="s">
        <v>71</v>
      </c>
      <c r="B64" s="4" t="s">
        <v>45</v>
      </c>
      <c r="C64" s="4">
        <v>210</v>
      </c>
      <c r="D64" s="5">
        <v>588.76137957229105</v>
      </c>
      <c r="E64" s="5">
        <v>542.98767112306496</v>
      </c>
      <c r="F64" s="5">
        <v>180.27768199947499</v>
      </c>
      <c r="G64" s="5">
        <f t="shared" si="0"/>
        <v>1.0842997196502699</v>
      </c>
      <c r="H64" s="5">
        <f t="shared" si="1"/>
        <v>333450.33053362498</v>
      </c>
    </row>
    <row r="65" spans="1:8" x14ac:dyDescent="0.25">
      <c r="A65" s="4" t="s">
        <v>72</v>
      </c>
      <c r="B65" s="4" t="s">
        <v>45</v>
      </c>
      <c r="C65" s="4">
        <v>210</v>
      </c>
      <c r="D65" s="5">
        <v>293.23900272769299</v>
      </c>
      <c r="E65" s="5">
        <v>633.55713541377702</v>
      </c>
      <c r="F65" s="5">
        <v>193.591605929265</v>
      </c>
      <c r="G65" s="5">
        <f t="shared" si="0"/>
        <v>0.46284539520840201</v>
      </c>
      <c r="H65" s="5">
        <f t="shared" si="1"/>
        <v>178343.846431374</v>
      </c>
    </row>
    <row r="66" spans="1:8" x14ac:dyDescent="0.25">
      <c r="A66" s="4" t="s">
        <v>73</v>
      </c>
      <c r="B66" s="4" t="s">
        <v>45</v>
      </c>
      <c r="C66" s="4">
        <v>210</v>
      </c>
      <c r="D66" s="5">
        <v>376.03965739482197</v>
      </c>
      <c r="E66" s="5">
        <v>671.41920542071205</v>
      </c>
      <c r="F66" s="5">
        <v>158.12494964401299</v>
      </c>
      <c r="G66" s="5">
        <f t="shared" ref="G66:G72" si="2">D66/E66</f>
        <v>0.56006687678705203</v>
      </c>
      <c r="H66" s="5">
        <f t="shared" ref="H66:H72" si="3">D66*F66*PI()</f>
        <v>186803.03210995899</v>
      </c>
    </row>
    <row r="67" spans="1:8" x14ac:dyDescent="0.25">
      <c r="A67" s="4" t="s">
        <v>74</v>
      </c>
      <c r="B67" s="4" t="s">
        <v>45</v>
      </c>
      <c r="C67" s="4">
        <v>210</v>
      </c>
      <c r="D67" s="5">
        <v>415.673297478096</v>
      </c>
      <c r="E67" s="5">
        <v>544.89375371773599</v>
      </c>
      <c r="F67" s="5">
        <v>195.93300844186601</v>
      </c>
      <c r="G67" s="5">
        <f t="shared" si="2"/>
        <v>0.76285201407065795</v>
      </c>
      <c r="H67" s="5">
        <f t="shared" si="3"/>
        <v>255864.24813965301</v>
      </c>
    </row>
    <row r="68" spans="1:8" x14ac:dyDescent="0.25">
      <c r="A68" s="4" t="s">
        <v>75</v>
      </c>
      <c r="B68" s="4" t="s">
        <v>45</v>
      </c>
      <c r="C68" s="4">
        <v>300</v>
      </c>
      <c r="D68" s="5">
        <v>276.25608175779303</v>
      </c>
      <c r="E68" s="5">
        <v>477.16366667092501</v>
      </c>
      <c r="F68" s="5">
        <v>141.486436982626</v>
      </c>
      <c r="G68" s="5">
        <f t="shared" si="2"/>
        <v>0.578954562247323</v>
      </c>
      <c r="H68" s="5">
        <f t="shared" si="3"/>
        <v>122793.82576299499</v>
      </c>
    </row>
    <row r="69" spans="1:8" x14ac:dyDescent="0.25">
      <c r="A69" s="4" t="s">
        <v>76</v>
      </c>
      <c r="B69" s="4" t="s">
        <v>45</v>
      </c>
      <c r="C69" s="4">
        <v>300</v>
      </c>
      <c r="D69" s="5">
        <v>341.86391312150602</v>
      </c>
      <c r="E69" s="5">
        <v>506.44948967343299</v>
      </c>
      <c r="F69" s="5">
        <v>183.50657060900301</v>
      </c>
      <c r="G69" s="5">
        <f t="shared" si="2"/>
        <v>0.67502074756150998</v>
      </c>
      <c r="H69" s="5">
        <f t="shared" si="3"/>
        <v>197085.53530655699</v>
      </c>
    </row>
    <row r="70" spans="1:8" x14ac:dyDescent="0.25">
      <c r="A70" s="4" t="s">
        <v>77</v>
      </c>
      <c r="B70" s="4" t="s">
        <v>45</v>
      </c>
      <c r="C70" s="4">
        <v>300</v>
      </c>
      <c r="D70" s="5">
        <v>350.330803575657</v>
      </c>
      <c r="E70" s="5">
        <v>539.80004824769105</v>
      </c>
      <c r="F70" s="5">
        <v>177.334184063462</v>
      </c>
      <c r="G70" s="5">
        <f t="shared" si="2"/>
        <v>0.64900106013867098</v>
      </c>
      <c r="H70" s="5">
        <f t="shared" si="3"/>
        <v>195173.41402495801</v>
      </c>
    </row>
    <row r="71" spans="1:8" x14ac:dyDescent="0.25">
      <c r="A71" s="4" t="s">
        <v>78</v>
      </c>
      <c r="B71" s="4" t="s">
        <v>45</v>
      </c>
      <c r="C71" s="4">
        <v>300</v>
      </c>
      <c r="D71" s="5">
        <v>417.069810409924</v>
      </c>
      <c r="E71" s="5">
        <v>530.95400579827401</v>
      </c>
      <c r="F71" s="5">
        <v>136.17354888079799</v>
      </c>
      <c r="G71" s="5">
        <f t="shared" si="2"/>
        <v>0.78551024355277599</v>
      </c>
      <c r="H71" s="5">
        <f t="shared" si="3"/>
        <v>178423.224284553</v>
      </c>
    </row>
    <row r="72" spans="1:8" x14ac:dyDescent="0.25">
      <c r="A72" s="4" t="s">
        <v>80</v>
      </c>
      <c r="B72" s="4" t="s">
        <v>45</v>
      </c>
      <c r="C72" s="4">
        <v>300</v>
      </c>
      <c r="D72" s="5">
        <v>367.89899847087401</v>
      </c>
      <c r="E72" s="5">
        <v>588.736522645631</v>
      </c>
      <c r="F72" s="5">
        <v>128.751244611651</v>
      </c>
      <c r="G72" s="5">
        <f t="shared" si="2"/>
        <v>0.624895830850837</v>
      </c>
      <c r="H72" s="5">
        <f t="shared" si="3"/>
        <v>148809.24533131</v>
      </c>
    </row>
    <row r="73" spans="1:8" x14ac:dyDescent="0.25">
      <c r="E73" s="6"/>
      <c r="G73" s="6"/>
    </row>
    <row r="74" spans="1:8" x14ac:dyDescent="0.25">
      <c r="E74" s="6"/>
      <c r="G74" s="6"/>
    </row>
    <row r="75" spans="1:8" x14ac:dyDescent="0.25">
      <c r="E75" s="6"/>
      <c r="G75" s="6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tabSelected="1" workbookViewId="0">
      <selection activeCell="K8" sqref="K8"/>
    </sheetView>
  </sheetViews>
  <sheetFormatPr defaultColWidth="8.7265625" defaultRowHeight="14" x14ac:dyDescent="0.25"/>
  <cols>
    <col min="1" max="1" width="8.7265625" style="2"/>
    <col min="2" max="2" width="10.6328125" style="2" customWidth="1"/>
    <col min="3" max="3" width="8.7265625" style="2"/>
    <col min="4" max="4" width="18.26953125" style="3" customWidth="1"/>
    <col min="5" max="5" width="15.08984375" style="3" customWidth="1"/>
    <col min="6" max="6" width="15.90625" style="3" customWidth="1"/>
    <col min="7" max="7" width="18.26953125" style="3" customWidth="1"/>
    <col min="8" max="8" width="20.453125" style="3" customWidth="1"/>
    <col min="9" max="16384" width="8.7265625" style="1"/>
  </cols>
  <sheetData>
    <row r="1" spans="1:8" ht="16" x14ac:dyDescent="0.25">
      <c r="A1" s="4" t="s">
        <v>0</v>
      </c>
      <c r="B1" s="4" t="s">
        <v>1</v>
      </c>
      <c r="C1" s="4" t="s">
        <v>2</v>
      </c>
      <c r="D1" s="5" t="s">
        <v>81</v>
      </c>
      <c r="E1" s="5" t="s">
        <v>82</v>
      </c>
      <c r="F1" s="5" t="s">
        <v>83</v>
      </c>
      <c r="G1" s="5" t="s">
        <v>84</v>
      </c>
      <c r="H1" s="5" t="s">
        <v>85</v>
      </c>
    </row>
    <row r="2" spans="1:8" x14ac:dyDescent="0.25">
      <c r="A2" s="4" t="s">
        <v>7</v>
      </c>
      <c r="B2" s="4" t="s">
        <v>8</v>
      </c>
      <c r="C2" s="4">
        <v>30</v>
      </c>
      <c r="D2" s="5">
        <v>359.48865153556602</v>
      </c>
      <c r="E2" s="5">
        <v>263.19965918367399</v>
      </c>
      <c r="F2" s="5">
        <v>142.517600168417</v>
      </c>
      <c r="G2" s="5">
        <v>1.3658401103198099</v>
      </c>
      <c r="H2" s="5">
        <v>160954.66125437</v>
      </c>
    </row>
    <row r="3" spans="1:8" x14ac:dyDescent="0.25">
      <c r="A3" s="4" t="s">
        <v>9</v>
      </c>
      <c r="B3" s="4" t="s">
        <v>8</v>
      </c>
      <c r="C3" s="4">
        <v>30</v>
      </c>
      <c r="D3" s="5">
        <v>206.44767502554899</v>
      </c>
      <c r="E3" s="5">
        <v>262.284112736331</v>
      </c>
      <c r="F3" s="5">
        <v>118.654193408278</v>
      </c>
      <c r="G3" s="5">
        <v>0.78711467832245996</v>
      </c>
      <c r="H3" s="5">
        <v>76956.084069054006</v>
      </c>
    </row>
    <row r="4" spans="1:8" x14ac:dyDescent="0.25">
      <c r="A4" s="4" t="s">
        <v>10</v>
      </c>
      <c r="B4" s="4" t="s">
        <v>8</v>
      </c>
      <c r="C4" s="4">
        <v>30</v>
      </c>
      <c r="D4" s="5">
        <v>183.93701566422001</v>
      </c>
      <c r="E4" s="5">
        <v>288.436836881364</v>
      </c>
      <c r="F4" s="5">
        <v>125.33245573052299</v>
      </c>
      <c r="G4" s="5">
        <v>0.63770292883871305</v>
      </c>
      <c r="H4" s="5">
        <v>72424.008406793597</v>
      </c>
    </row>
    <row r="5" spans="1:8" x14ac:dyDescent="0.25">
      <c r="A5" s="4" t="s">
        <v>11</v>
      </c>
      <c r="B5" s="4" t="s">
        <v>8</v>
      </c>
      <c r="C5" s="4">
        <v>30</v>
      </c>
      <c r="D5" s="5">
        <v>221.433964620897</v>
      </c>
      <c r="E5" s="5">
        <v>255.57861823855799</v>
      </c>
      <c r="F5" s="5">
        <v>119.772789447527</v>
      </c>
      <c r="G5" s="5">
        <v>0.86640254238408099</v>
      </c>
      <c r="H5" s="5">
        <v>83320.577752198005</v>
      </c>
    </row>
    <row r="6" spans="1:8" x14ac:dyDescent="0.25">
      <c r="A6" s="4" t="s">
        <v>12</v>
      </c>
      <c r="B6" s="4" t="s">
        <v>8</v>
      </c>
      <c r="C6" s="4">
        <v>30</v>
      </c>
      <c r="D6" s="5">
        <v>189.467798619539</v>
      </c>
      <c r="E6" s="5">
        <v>257.108893932039</v>
      </c>
      <c r="F6" s="5">
        <v>100.055819007888</v>
      </c>
      <c r="G6" s="5">
        <v>0.73691654816741003</v>
      </c>
      <c r="H6" s="5">
        <v>59556.289607523096</v>
      </c>
    </row>
    <row r="7" spans="1:8" x14ac:dyDescent="0.25">
      <c r="A7" s="4" t="s">
        <v>13</v>
      </c>
      <c r="B7" s="4" t="s">
        <v>8</v>
      </c>
      <c r="C7" s="4">
        <v>30</v>
      </c>
      <c r="D7" s="5">
        <v>242.00106188844501</v>
      </c>
      <c r="E7" s="5">
        <v>234.54693575099901</v>
      </c>
      <c r="F7" s="5">
        <v>120.396777993528</v>
      </c>
      <c r="G7" s="5">
        <v>1.0317809572467</v>
      </c>
      <c r="H7" s="5">
        <v>91533.908895176603</v>
      </c>
    </row>
    <row r="8" spans="1:8" x14ac:dyDescent="0.25">
      <c r="A8" s="4" t="s">
        <v>14</v>
      </c>
      <c r="B8" s="4" t="s">
        <v>8</v>
      </c>
      <c r="C8" s="4">
        <v>60</v>
      </c>
      <c r="D8" s="5">
        <v>303.576122164607</v>
      </c>
      <c r="E8" s="5">
        <v>367.38298111209201</v>
      </c>
      <c r="F8" s="5">
        <v>170.07889404236499</v>
      </c>
      <c r="G8" s="5">
        <v>0.82632059124149504</v>
      </c>
      <c r="H8" s="5">
        <v>162206.369819171</v>
      </c>
    </row>
    <row r="9" spans="1:8" x14ac:dyDescent="0.25">
      <c r="A9" s="4" t="s">
        <v>15</v>
      </c>
      <c r="B9" s="4" t="s">
        <v>8</v>
      </c>
      <c r="C9" s="4">
        <v>60</v>
      </c>
      <c r="D9" s="5">
        <v>349.02361844660197</v>
      </c>
      <c r="E9" s="5">
        <v>376.423938861191</v>
      </c>
      <c r="F9" s="5">
        <v>171.14066224088199</v>
      </c>
      <c r="G9" s="5">
        <v>0.92720887917627104</v>
      </c>
      <c r="H9" s="5">
        <v>187654.030840158</v>
      </c>
    </row>
    <row r="10" spans="1:8" x14ac:dyDescent="0.25">
      <c r="A10" s="4" t="s">
        <v>16</v>
      </c>
      <c r="B10" s="4" t="s">
        <v>8</v>
      </c>
      <c r="C10" s="4">
        <v>60</v>
      </c>
      <c r="D10" s="5">
        <v>329.75653712536899</v>
      </c>
      <c r="E10" s="5">
        <v>347.923149071338</v>
      </c>
      <c r="F10" s="5">
        <v>171.70349062895701</v>
      </c>
      <c r="G10" s="5">
        <v>0.94778556128139602</v>
      </c>
      <c r="H10" s="5">
        <v>177878.07083519499</v>
      </c>
    </row>
    <row r="11" spans="1:8" x14ac:dyDescent="0.25">
      <c r="A11" s="4" t="s">
        <v>17</v>
      </c>
      <c r="B11" s="4" t="s">
        <v>8</v>
      </c>
      <c r="C11" s="4">
        <v>60</v>
      </c>
      <c r="D11" s="5">
        <v>384.80088989408603</v>
      </c>
      <c r="E11" s="5">
        <v>383.54751890261798</v>
      </c>
      <c r="F11" s="5">
        <v>178.79353605472201</v>
      </c>
      <c r="G11" s="5">
        <v>1.00326783756822</v>
      </c>
      <c r="H11" s="5">
        <v>216141.29741934099</v>
      </c>
    </row>
    <row r="12" spans="1:8" x14ac:dyDescent="0.25">
      <c r="A12" s="4" t="s">
        <v>18</v>
      </c>
      <c r="B12" s="4" t="s">
        <v>8</v>
      </c>
      <c r="C12" s="4">
        <v>60</v>
      </c>
      <c r="D12" s="5">
        <v>276.72821651496798</v>
      </c>
      <c r="E12" s="5">
        <v>302.30824888754</v>
      </c>
      <c r="F12" s="5">
        <v>166.07912012540501</v>
      </c>
      <c r="G12" s="5">
        <v>0.91538427262007005</v>
      </c>
      <c r="H12" s="5">
        <v>144383.76157171</v>
      </c>
    </row>
    <row r="13" spans="1:8" x14ac:dyDescent="0.25">
      <c r="A13" s="4" t="s">
        <v>19</v>
      </c>
      <c r="B13" s="4" t="s">
        <v>8</v>
      </c>
      <c r="C13" s="4">
        <v>60</v>
      </c>
      <c r="D13" s="5">
        <v>395.906696522917</v>
      </c>
      <c r="E13" s="5">
        <v>362.85495441408898</v>
      </c>
      <c r="F13" s="5">
        <v>167.28161837886699</v>
      </c>
      <c r="G13" s="5">
        <v>1.0910880276175301</v>
      </c>
      <c r="H13" s="5">
        <v>208061.12469640601</v>
      </c>
    </row>
    <row r="14" spans="1:8" x14ac:dyDescent="0.25">
      <c r="A14" s="4" t="s">
        <v>20</v>
      </c>
      <c r="B14" s="4" t="s">
        <v>8</v>
      </c>
      <c r="C14" s="4">
        <v>90</v>
      </c>
      <c r="D14" s="5">
        <v>430.10144931776398</v>
      </c>
      <c r="E14" s="5">
        <v>430.25512658094999</v>
      </c>
      <c r="F14" s="5">
        <v>141.60108243243201</v>
      </c>
      <c r="G14" s="5">
        <v>0.99964282293529605</v>
      </c>
      <c r="H14" s="5">
        <v>191331.88575861001</v>
      </c>
    </row>
    <row r="15" spans="1:8" x14ac:dyDescent="0.25">
      <c r="A15" s="4" t="s">
        <v>21</v>
      </c>
      <c r="B15" s="4" t="s">
        <v>8</v>
      </c>
      <c r="C15" s="4">
        <v>90</v>
      </c>
      <c r="D15" s="5">
        <v>322.43463036940602</v>
      </c>
      <c r="E15" s="5">
        <v>311.82149191333201</v>
      </c>
      <c r="F15" s="5">
        <v>130.42343169547701</v>
      </c>
      <c r="G15" s="5">
        <v>1.0340359427791601</v>
      </c>
      <c r="H15" s="5">
        <v>132113.49322012399</v>
      </c>
    </row>
    <row r="16" spans="1:8" x14ac:dyDescent="0.25">
      <c r="A16" s="4" t="s">
        <v>22</v>
      </c>
      <c r="B16" s="4" t="s">
        <v>8</v>
      </c>
      <c r="C16" s="4">
        <v>90</v>
      </c>
      <c r="D16" s="5">
        <v>368.54478285801002</v>
      </c>
      <c r="E16" s="5">
        <v>323.78297486852802</v>
      </c>
      <c r="F16" s="5">
        <v>141.24758527508101</v>
      </c>
      <c r="G16" s="5">
        <v>1.13824632999205</v>
      </c>
      <c r="H16" s="5">
        <v>163538.93769534401</v>
      </c>
    </row>
    <row r="17" spans="1:8" x14ac:dyDescent="0.25">
      <c r="A17" s="4" t="s">
        <v>23</v>
      </c>
      <c r="B17" s="4" t="s">
        <v>8</v>
      </c>
      <c r="C17" s="4">
        <v>90</v>
      </c>
      <c r="D17" s="5">
        <v>267.95299274700199</v>
      </c>
      <c r="E17" s="5">
        <v>336.094999328955</v>
      </c>
      <c r="F17" s="5">
        <v>125.28350391204999</v>
      </c>
      <c r="G17" s="5">
        <v>0.79725373267080801</v>
      </c>
      <c r="H17" s="5">
        <v>105463.54754335601</v>
      </c>
    </row>
    <row r="18" spans="1:8" x14ac:dyDescent="0.25">
      <c r="A18" s="4" t="s">
        <v>24</v>
      </c>
      <c r="B18" s="4" t="s">
        <v>8</v>
      </c>
      <c r="C18" s="4">
        <v>90</v>
      </c>
      <c r="D18" s="5">
        <v>440.44737223301001</v>
      </c>
      <c r="E18" s="5">
        <v>328.84457713592201</v>
      </c>
      <c r="F18" s="5">
        <v>157.16800985436899</v>
      </c>
      <c r="G18" s="5">
        <v>1.3393785479727101</v>
      </c>
      <c r="H18" s="5">
        <v>217474.354219331</v>
      </c>
    </row>
    <row r="19" spans="1:8" x14ac:dyDescent="0.25">
      <c r="A19" s="4" t="s">
        <v>25</v>
      </c>
      <c r="B19" s="4" t="s">
        <v>8</v>
      </c>
      <c r="C19" s="4">
        <v>90</v>
      </c>
      <c r="D19" s="5">
        <v>475.15048926118902</v>
      </c>
      <c r="E19" s="5">
        <v>325.75429256452799</v>
      </c>
      <c r="F19" s="5">
        <v>157.63091279895801</v>
      </c>
      <c r="G19" s="5">
        <v>1.4586162027844001</v>
      </c>
      <c r="H19" s="5">
        <v>235300.27997894699</v>
      </c>
    </row>
    <row r="20" spans="1:8" x14ac:dyDescent="0.25">
      <c r="A20" s="4" t="s">
        <v>26</v>
      </c>
      <c r="B20" s="4" t="s">
        <v>8</v>
      </c>
      <c r="C20" s="4">
        <v>150</v>
      </c>
      <c r="D20" s="5">
        <v>478.757223831565</v>
      </c>
      <c r="E20" s="5">
        <v>397.27713807857299</v>
      </c>
      <c r="F20" s="5">
        <v>195.82924033641899</v>
      </c>
      <c r="G20" s="5">
        <v>1.2050963368973899</v>
      </c>
      <c r="H20" s="5">
        <v>294538.96192961698</v>
      </c>
    </row>
    <row r="21" spans="1:8" x14ac:dyDescent="0.25">
      <c r="A21" s="4" t="s">
        <v>27</v>
      </c>
      <c r="B21" s="4" t="s">
        <v>8</v>
      </c>
      <c r="C21" s="4">
        <v>150</v>
      </c>
      <c r="D21" s="5">
        <v>530.770322097492</v>
      </c>
      <c r="E21" s="5">
        <v>378.54688624595502</v>
      </c>
      <c r="F21" s="5">
        <v>182.01964313309099</v>
      </c>
      <c r="G21" s="5">
        <v>1.4021257111929599</v>
      </c>
      <c r="H21" s="5">
        <v>303511.228545502</v>
      </c>
    </row>
    <row r="22" spans="1:8" x14ac:dyDescent="0.25">
      <c r="A22" s="4" t="s">
        <v>28</v>
      </c>
      <c r="B22" s="4" t="s">
        <v>8</v>
      </c>
      <c r="C22" s="4">
        <v>150</v>
      </c>
      <c r="D22" s="5">
        <v>431.53208709816602</v>
      </c>
      <c r="E22" s="5">
        <v>348.393583009709</v>
      </c>
      <c r="F22" s="5">
        <v>173.40184102481101</v>
      </c>
      <c r="G22" s="5">
        <v>1.2386338559115799</v>
      </c>
      <c r="H22" s="5">
        <v>235080.53507611001</v>
      </c>
    </row>
    <row r="23" spans="1:8" x14ac:dyDescent="0.25">
      <c r="A23" s="4" t="s">
        <v>29</v>
      </c>
      <c r="B23" s="4" t="s">
        <v>8</v>
      </c>
      <c r="C23" s="4">
        <v>150</v>
      </c>
      <c r="D23" s="5">
        <v>466.63017579375497</v>
      </c>
      <c r="E23" s="5">
        <v>316.39770216478598</v>
      </c>
      <c r="F23" s="5">
        <v>169.601209223301</v>
      </c>
      <c r="G23" s="5">
        <v>1.47482163303046</v>
      </c>
      <c r="H23" s="5">
        <v>248628.91637932599</v>
      </c>
    </row>
    <row r="24" spans="1:8" x14ac:dyDescent="0.25">
      <c r="A24" s="4" t="s">
        <v>30</v>
      </c>
      <c r="B24" s="4" t="s">
        <v>8</v>
      </c>
      <c r="C24" s="4">
        <v>150</v>
      </c>
      <c r="D24" s="5">
        <v>463.01732825694302</v>
      </c>
      <c r="E24" s="5">
        <v>380.35296612102098</v>
      </c>
      <c r="F24" s="5">
        <v>167.03018461277901</v>
      </c>
      <c r="G24" s="5">
        <v>1.2173359208394301</v>
      </c>
      <c r="H24" s="5">
        <v>242964.08366348501</v>
      </c>
    </row>
    <row r="25" spans="1:8" x14ac:dyDescent="0.25">
      <c r="A25" s="4" t="s">
        <v>31</v>
      </c>
      <c r="B25" s="4" t="s">
        <v>8</v>
      </c>
      <c r="C25" s="4">
        <v>150</v>
      </c>
      <c r="D25" s="5">
        <v>416.602795527046</v>
      </c>
      <c r="E25" s="5">
        <v>430.83971067961198</v>
      </c>
      <c r="F25" s="5">
        <v>158.358924953768</v>
      </c>
      <c r="G25" s="5">
        <v>0.96695542495349696</v>
      </c>
      <c r="H25" s="5">
        <v>207259.57218402301</v>
      </c>
    </row>
    <row r="26" spans="1:8" x14ac:dyDescent="0.25">
      <c r="A26" s="4" t="s">
        <v>32</v>
      </c>
      <c r="B26" s="4" t="s">
        <v>8</v>
      </c>
      <c r="C26" s="4">
        <v>210</v>
      </c>
      <c r="D26" s="5">
        <v>504.68762140205598</v>
      </c>
      <c r="E26" s="5">
        <v>375.47023616504902</v>
      </c>
      <c r="F26" s="5">
        <v>204.59551264991401</v>
      </c>
      <c r="G26" s="5">
        <v>1.3441481448883901</v>
      </c>
      <c r="H26" s="5">
        <v>324390.87540372298</v>
      </c>
    </row>
    <row r="27" spans="1:8" x14ac:dyDescent="0.25">
      <c r="A27" s="4" t="s">
        <v>33</v>
      </c>
      <c r="B27" s="4" t="s">
        <v>8</v>
      </c>
      <c r="C27" s="4">
        <v>210</v>
      </c>
      <c r="D27" s="5">
        <v>439.61504840499299</v>
      </c>
      <c r="E27" s="5">
        <v>377.57614868238602</v>
      </c>
      <c r="F27" s="5">
        <v>192.41648128987501</v>
      </c>
      <c r="G27" s="5">
        <v>1.16430831221491</v>
      </c>
      <c r="H27" s="5">
        <v>265744.74877392099</v>
      </c>
    </row>
    <row r="28" spans="1:8" x14ac:dyDescent="0.25">
      <c r="A28" s="4" t="s">
        <v>34</v>
      </c>
      <c r="B28" s="4" t="s">
        <v>8</v>
      </c>
      <c r="C28" s="4">
        <v>210</v>
      </c>
      <c r="D28" s="5">
        <v>574.86754243621601</v>
      </c>
      <c r="E28" s="5">
        <v>379.94552160758599</v>
      </c>
      <c r="F28" s="5">
        <v>158.830405384963</v>
      </c>
      <c r="G28" s="5">
        <v>1.51302623598219</v>
      </c>
      <c r="H28" s="5">
        <v>286847.65623359103</v>
      </c>
    </row>
    <row r="29" spans="1:8" x14ac:dyDescent="0.25">
      <c r="A29" s="4" t="s">
        <v>35</v>
      </c>
      <c r="B29" s="4" t="s">
        <v>8</v>
      </c>
      <c r="C29" s="4">
        <v>210</v>
      </c>
      <c r="D29" s="5">
        <v>533.70690282319902</v>
      </c>
      <c r="E29" s="5">
        <v>405.53619741952002</v>
      </c>
      <c r="F29" s="5">
        <v>180.30908574348501</v>
      </c>
      <c r="G29" s="5">
        <v>1.3160524417283701</v>
      </c>
      <c r="H29" s="5">
        <v>302322.38419222098</v>
      </c>
    </row>
    <row r="30" spans="1:8" x14ac:dyDescent="0.25">
      <c r="A30" s="4" t="s">
        <v>36</v>
      </c>
      <c r="B30" s="4" t="s">
        <v>8</v>
      </c>
      <c r="C30" s="4">
        <v>210</v>
      </c>
      <c r="D30" s="5">
        <v>527.48899074635904</v>
      </c>
      <c r="E30" s="5">
        <v>388.17505138046101</v>
      </c>
      <c r="F30" s="5">
        <v>195.97596565533999</v>
      </c>
      <c r="G30" s="5">
        <v>1.3588946246557001</v>
      </c>
      <c r="H30" s="5">
        <v>324762.65683557797</v>
      </c>
    </row>
    <row r="31" spans="1:8" x14ac:dyDescent="0.25">
      <c r="A31" s="4" t="s">
        <v>37</v>
      </c>
      <c r="B31" s="4" t="s">
        <v>8</v>
      </c>
      <c r="C31" s="4">
        <v>210</v>
      </c>
      <c r="D31" s="5">
        <v>438.71363966712897</v>
      </c>
      <c r="E31" s="5">
        <v>318.92603873588303</v>
      </c>
      <c r="F31" s="5">
        <v>175.63557480681601</v>
      </c>
      <c r="G31" s="5">
        <v>1.3755968042184501</v>
      </c>
      <c r="H31" s="5">
        <v>242071.40784196701</v>
      </c>
    </row>
    <row r="32" spans="1:8" x14ac:dyDescent="0.25">
      <c r="A32" s="4" t="s">
        <v>38</v>
      </c>
      <c r="B32" s="4" t="s">
        <v>8</v>
      </c>
      <c r="C32" s="4">
        <v>300</v>
      </c>
      <c r="D32" s="5">
        <v>223.36162165329301</v>
      </c>
      <c r="E32" s="5">
        <v>105.543805755939</v>
      </c>
      <c r="F32" s="5">
        <v>63.901117650750798</v>
      </c>
      <c r="G32" s="5">
        <v>2.3766364451992299</v>
      </c>
      <c r="H32" s="5">
        <v>44502.559065298898</v>
      </c>
    </row>
    <row r="33" spans="1:8" x14ac:dyDescent="0.25">
      <c r="A33" s="4" t="s">
        <v>39</v>
      </c>
      <c r="B33" s="4" t="s">
        <v>8</v>
      </c>
      <c r="C33" s="4">
        <v>300</v>
      </c>
      <c r="D33" s="5">
        <v>457.33971998179601</v>
      </c>
      <c r="E33" s="5">
        <v>386.12011520300098</v>
      </c>
      <c r="F33" s="5">
        <v>148.329968965137</v>
      </c>
      <c r="G33" s="5">
        <v>1.18444935131481</v>
      </c>
      <c r="H33" s="5">
        <v>213116.806658827</v>
      </c>
    </row>
    <row r="34" spans="1:8" x14ac:dyDescent="0.25">
      <c r="A34" s="4" t="s">
        <v>40</v>
      </c>
      <c r="B34" s="4" t="s">
        <v>8</v>
      </c>
      <c r="C34" s="4">
        <v>300</v>
      </c>
      <c r="D34" s="5">
        <v>449.735482965578</v>
      </c>
      <c r="E34" s="5">
        <v>310.01193609885303</v>
      </c>
      <c r="F34" s="5">
        <v>136.83922371285701</v>
      </c>
      <c r="G34" s="5">
        <v>1.45070376523235</v>
      </c>
      <c r="H34" s="5">
        <v>193338.180924744</v>
      </c>
    </row>
    <row r="35" spans="1:8" x14ac:dyDescent="0.25">
      <c r="A35" s="4" t="s">
        <v>42</v>
      </c>
      <c r="B35" s="4" t="s">
        <v>8</v>
      </c>
      <c r="C35" s="4">
        <v>300</v>
      </c>
      <c r="D35" s="5">
        <v>351.43385307091597</v>
      </c>
      <c r="E35" s="5">
        <v>325.47266334951502</v>
      </c>
      <c r="F35" s="5">
        <v>150.61259015407299</v>
      </c>
      <c r="G35" s="5">
        <v>1.0797645782420799</v>
      </c>
      <c r="H35" s="5">
        <v>166285.63917199499</v>
      </c>
    </row>
    <row r="36" spans="1:8" x14ac:dyDescent="0.25">
      <c r="A36" s="4" t="s">
        <v>43</v>
      </c>
      <c r="B36" s="4" t="s">
        <v>8</v>
      </c>
      <c r="C36" s="4">
        <v>300</v>
      </c>
      <c r="D36" s="5">
        <v>402.53495185853001</v>
      </c>
      <c r="E36" s="5">
        <v>335.11651626907098</v>
      </c>
      <c r="F36" s="5">
        <v>165.919408710125</v>
      </c>
      <c r="G36" s="5">
        <v>1.20117908941058</v>
      </c>
      <c r="H36" s="5">
        <v>209821.82488344901</v>
      </c>
    </row>
    <row r="37" spans="1:8" x14ac:dyDescent="0.25">
      <c r="A37" s="4" t="s">
        <v>44</v>
      </c>
      <c r="B37" s="4" t="s">
        <v>45</v>
      </c>
      <c r="C37" s="4">
        <v>30</v>
      </c>
      <c r="D37" s="5">
        <v>278.96037521782398</v>
      </c>
      <c r="E37" s="5">
        <v>338.345652999751</v>
      </c>
      <c r="F37" s="5">
        <v>125.503708289768</v>
      </c>
      <c r="G37" s="5">
        <v>0.82448340253400398</v>
      </c>
      <c r="H37" s="5">
        <v>109988.922981572</v>
      </c>
    </row>
    <row r="38" spans="1:8" x14ac:dyDescent="0.25">
      <c r="A38" s="4" t="s">
        <v>47</v>
      </c>
      <c r="B38" s="4" t="s">
        <v>45</v>
      </c>
      <c r="C38" s="4">
        <v>30</v>
      </c>
      <c r="D38" s="5">
        <v>269.08615379433297</v>
      </c>
      <c r="E38" s="5">
        <v>312.03056192787801</v>
      </c>
      <c r="F38" s="5">
        <v>134.15459469982201</v>
      </c>
      <c r="G38" s="5">
        <v>0.86237114765869904</v>
      </c>
      <c r="H38" s="5">
        <v>113408.80528218699</v>
      </c>
    </row>
    <row r="39" spans="1:8" x14ac:dyDescent="0.25">
      <c r="A39" s="4" t="s">
        <v>48</v>
      </c>
      <c r="B39" s="4" t="s">
        <v>45</v>
      </c>
      <c r="C39" s="4">
        <v>30</v>
      </c>
      <c r="D39" s="5">
        <v>281.75780386368098</v>
      </c>
      <c r="E39" s="5">
        <v>328.63734490786601</v>
      </c>
      <c r="F39" s="5">
        <v>139.58708792351899</v>
      </c>
      <c r="G39" s="5">
        <v>0.85735175332149904</v>
      </c>
      <c r="H39" s="5">
        <v>123558.057880579</v>
      </c>
    </row>
    <row r="40" spans="1:8" x14ac:dyDescent="0.25">
      <c r="A40" s="4" t="s">
        <v>49</v>
      </c>
      <c r="B40" s="4" t="s">
        <v>45</v>
      </c>
      <c r="C40" s="4">
        <v>30</v>
      </c>
      <c r="D40" s="5">
        <v>242.09069786221099</v>
      </c>
      <c r="E40" s="5">
        <v>337.372430153099</v>
      </c>
      <c r="F40" s="5">
        <v>126.688668054518</v>
      </c>
      <c r="G40" s="5">
        <v>0.71757700459504203</v>
      </c>
      <c r="H40" s="5">
        <v>96353.111831542206</v>
      </c>
    </row>
    <row r="41" spans="1:8" x14ac:dyDescent="0.25">
      <c r="A41" s="4" t="s">
        <v>50</v>
      </c>
      <c r="B41" s="4" t="s">
        <v>45</v>
      </c>
      <c r="C41" s="4">
        <v>30</v>
      </c>
      <c r="D41" s="5">
        <v>233.12937622707699</v>
      </c>
      <c r="E41" s="5">
        <v>315.36072455501602</v>
      </c>
      <c r="F41" s="5">
        <v>126.76694778856501</v>
      </c>
      <c r="G41" s="5">
        <v>0.73924670409110005</v>
      </c>
      <c r="H41" s="5">
        <v>92843.800167409107</v>
      </c>
    </row>
    <row r="42" spans="1:8" x14ac:dyDescent="0.25">
      <c r="A42" s="4" t="s">
        <v>51</v>
      </c>
      <c r="B42" s="4" t="s">
        <v>45</v>
      </c>
      <c r="C42" s="4">
        <v>60</v>
      </c>
      <c r="D42" s="5">
        <v>289.759952405609</v>
      </c>
      <c r="E42" s="5">
        <v>343.84057629989201</v>
      </c>
      <c r="F42" s="5">
        <v>156.33815187702299</v>
      </c>
      <c r="G42" s="5">
        <v>0.84271599217215498</v>
      </c>
      <c r="H42" s="5">
        <v>142315.82936418999</v>
      </c>
    </row>
    <row r="43" spans="1:8" x14ac:dyDescent="0.25">
      <c r="A43" s="4" t="s">
        <v>52</v>
      </c>
      <c r="B43" s="4" t="s">
        <v>45</v>
      </c>
      <c r="C43" s="4">
        <v>60</v>
      </c>
      <c r="D43" s="5">
        <v>359.32711140237302</v>
      </c>
      <c r="E43" s="5">
        <v>299.97183230852198</v>
      </c>
      <c r="F43" s="5">
        <v>160.02391399136999</v>
      </c>
      <c r="G43" s="5">
        <v>1.1978695087370901</v>
      </c>
      <c r="H43" s="5">
        <v>180644.501681044</v>
      </c>
    </row>
    <row r="44" spans="1:8" x14ac:dyDescent="0.25">
      <c r="A44" s="4" t="s">
        <v>53</v>
      </c>
      <c r="B44" s="4" t="s">
        <v>45</v>
      </c>
      <c r="C44" s="4">
        <v>60</v>
      </c>
      <c r="D44" s="5">
        <v>356.32123273231599</v>
      </c>
      <c r="E44" s="5">
        <v>372.69663641932499</v>
      </c>
      <c r="F44" s="5">
        <v>165.06099409385101</v>
      </c>
      <c r="G44" s="5">
        <v>0.95606237865644506</v>
      </c>
      <c r="H44" s="5">
        <v>184771.94534128701</v>
      </c>
    </row>
    <row r="45" spans="1:8" x14ac:dyDescent="0.25">
      <c r="A45" s="4" t="s">
        <v>54</v>
      </c>
      <c r="B45" s="4" t="s">
        <v>45</v>
      </c>
      <c r="C45" s="4">
        <v>60</v>
      </c>
      <c r="D45" s="5">
        <v>318.69072026440801</v>
      </c>
      <c r="E45" s="5">
        <v>293.49308149142701</v>
      </c>
      <c r="F45" s="5">
        <v>162.19324446395399</v>
      </c>
      <c r="G45" s="5">
        <v>1.0858542853716899</v>
      </c>
      <c r="H45" s="5">
        <v>162387.29660565199</v>
      </c>
    </row>
    <row r="46" spans="1:8" x14ac:dyDescent="0.25">
      <c r="A46" s="4" t="s">
        <v>55</v>
      </c>
      <c r="B46" s="4" t="s">
        <v>45</v>
      </c>
      <c r="C46" s="4">
        <v>60</v>
      </c>
      <c r="D46" s="5">
        <v>382.68448228811297</v>
      </c>
      <c r="E46" s="5">
        <v>324.31988605352899</v>
      </c>
      <c r="F46" s="5">
        <v>164.05464300708499</v>
      </c>
      <c r="G46" s="5">
        <v>1.1799599677490999</v>
      </c>
      <c r="H46" s="5">
        <v>197232.85028564301</v>
      </c>
    </row>
    <row r="47" spans="1:8" x14ac:dyDescent="0.25">
      <c r="A47" s="4" t="s">
        <v>56</v>
      </c>
      <c r="B47" s="4" t="s">
        <v>45</v>
      </c>
      <c r="C47" s="4">
        <v>60</v>
      </c>
      <c r="D47" s="5">
        <v>316.11705753530401</v>
      </c>
      <c r="E47" s="5">
        <v>332.21266021624001</v>
      </c>
      <c r="F47" s="5">
        <v>156.28024705428101</v>
      </c>
      <c r="G47" s="5">
        <v>0.95155030313878097</v>
      </c>
      <c r="H47" s="5">
        <v>155203.63643737001</v>
      </c>
    </row>
    <row r="48" spans="1:8" x14ac:dyDescent="0.25">
      <c r="A48" s="4" t="s">
        <v>57</v>
      </c>
      <c r="B48" s="4" t="s">
        <v>45</v>
      </c>
      <c r="C48" s="4">
        <v>90</v>
      </c>
      <c r="D48" s="5">
        <v>251.67062753843001</v>
      </c>
      <c r="E48" s="5">
        <v>310.10411978155298</v>
      </c>
      <c r="F48" s="5">
        <v>194.08881904328501</v>
      </c>
      <c r="G48" s="5">
        <v>0.81156815238609104</v>
      </c>
      <c r="H48" s="5">
        <v>153455.66382632701</v>
      </c>
    </row>
    <row r="49" spans="1:8" x14ac:dyDescent="0.25">
      <c r="A49" s="4" t="s">
        <v>58</v>
      </c>
      <c r="B49" s="4" t="s">
        <v>45</v>
      </c>
      <c r="C49" s="4">
        <v>90</v>
      </c>
      <c r="D49" s="5">
        <v>306.30126147622599</v>
      </c>
      <c r="E49" s="5">
        <v>404.95355003734102</v>
      </c>
      <c r="F49" s="5">
        <v>170.43554483445399</v>
      </c>
      <c r="G49" s="5">
        <v>0.75638616193877495</v>
      </c>
      <c r="H49" s="5">
        <v>164005.65816243101</v>
      </c>
    </row>
    <row r="50" spans="1:8" x14ac:dyDescent="0.25">
      <c r="A50" s="4" t="s">
        <v>59</v>
      </c>
      <c r="B50" s="4" t="s">
        <v>45</v>
      </c>
      <c r="C50" s="4">
        <v>90</v>
      </c>
      <c r="D50" s="5">
        <v>290.51368786407801</v>
      </c>
      <c r="E50" s="5">
        <v>337.77145204962198</v>
      </c>
      <c r="F50" s="5">
        <v>170.647722599784</v>
      </c>
      <c r="G50" s="5">
        <v>0.86008952533205396</v>
      </c>
      <c r="H50" s="5">
        <v>155746.02414153301</v>
      </c>
    </row>
    <row r="51" spans="1:8" x14ac:dyDescent="0.25">
      <c r="A51" s="4" t="s">
        <v>60</v>
      </c>
      <c r="B51" s="4" t="s">
        <v>45</v>
      </c>
      <c r="C51" s="4">
        <v>90</v>
      </c>
      <c r="D51" s="5">
        <v>348.28044860988501</v>
      </c>
      <c r="E51" s="5">
        <v>316.772288184025</v>
      </c>
      <c r="F51" s="5">
        <v>160.331420531774</v>
      </c>
      <c r="G51" s="5">
        <v>1.09946627783159</v>
      </c>
      <c r="H51" s="5">
        <v>175427.47332963601</v>
      </c>
    </row>
    <row r="52" spans="1:8" x14ac:dyDescent="0.25">
      <c r="A52" s="4" t="s">
        <v>61</v>
      </c>
      <c r="B52" s="4" t="s">
        <v>45</v>
      </c>
      <c r="C52" s="4">
        <v>90</v>
      </c>
      <c r="D52" s="5">
        <v>308.11768157707797</v>
      </c>
      <c r="E52" s="5">
        <v>356.30783272555101</v>
      </c>
      <c r="F52" s="5">
        <v>141.36890771963101</v>
      </c>
      <c r="G52" s="5">
        <v>0.86475135620834997</v>
      </c>
      <c r="H52" s="5">
        <v>136842.30991338499</v>
      </c>
    </row>
    <row r="53" spans="1:8" x14ac:dyDescent="0.25">
      <c r="A53" s="4" t="s">
        <v>62</v>
      </c>
      <c r="B53" s="4" t="s">
        <v>45</v>
      </c>
      <c r="C53" s="4">
        <v>90</v>
      </c>
      <c r="D53" s="5">
        <v>326.36573055086501</v>
      </c>
      <c r="E53" s="5">
        <v>354.55954871253698</v>
      </c>
      <c r="F53" s="5">
        <v>167.521373079358</v>
      </c>
      <c r="G53" s="5">
        <v>0.92048213547188795</v>
      </c>
      <c r="H53" s="5">
        <v>171761.034391375</v>
      </c>
    </row>
    <row r="54" spans="1:8" x14ac:dyDescent="0.25">
      <c r="A54" s="4" t="s">
        <v>63</v>
      </c>
      <c r="B54" s="4" t="s">
        <v>45</v>
      </c>
      <c r="C54" s="4">
        <v>150</v>
      </c>
      <c r="D54" s="5">
        <v>339.89856252228998</v>
      </c>
      <c r="E54" s="5">
        <v>404.377081553398</v>
      </c>
      <c r="F54" s="5">
        <v>168.97309640380399</v>
      </c>
      <c r="G54" s="5">
        <v>0.84054853261362805</v>
      </c>
      <c r="H54" s="5">
        <v>180433.32948644701</v>
      </c>
    </row>
    <row r="55" spans="1:8" x14ac:dyDescent="0.25">
      <c r="A55" s="4" t="s">
        <v>64</v>
      </c>
      <c r="B55" s="4" t="s">
        <v>45</v>
      </c>
      <c r="C55" s="4">
        <v>150</v>
      </c>
      <c r="D55" s="5">
        <v>501.03034111043701</v>
      </c>
      <c r="E55" s="5">
        <v>419.223260447006</v>
      </c>
      <c r="F55" s="5">
        <v>184.03261209546901</v>
      </c>
      <c r="G55" s="5">
        <v>1.1951396508299701</v>
      </c>
      <c r="H55" s="5">
        <v>289673.44847215398</v>
      </c>
    </row>
    <row r="56" spans="1:8" x14ac:dyDescent="0.25">
      <c r="A56" s="4" t="s">
        <v>65</v>
      </c>
      <c r="B56" s="4" t="s">
        <v>45</v>
      </c>
      <c r="C56" s="4">
        <v>150</v>
      </c>
      <c r="D56" s="5">
        <v>438.16499271844702</v>
      </c>
      <c r="E56" s="5">
        <v>369.81369232772897</v>
      </c>
      <c r="F56" s="5">
        <v>190.91195628700001</v>
      </c>
      <c r="G56" s="5">
        <v>1.18482631067685</v>
      </c>
      <c r="H56" s="5">
        <v>262797.16580357199</v>
      </c>
    </row>
    <row r="57" spans="1:8" x14ac:dyDescent="0.25">
      <c r="A57" s="4" t="s">
        <v>66</v>
      </c>
      <c r="B57" s="4" t="s">
        <v>45</v>
      </c>
      <c r="C57" s="4">
        <v>150</v>
      </c>
      <c r="D57" s="5">
        <v>444.73302707659099</v>
      </c>
      <c r="E57" s="5">
        <v>398.07524939320399</v>
      </c>
      <c r="F57" s="5">
        <v>163.654490358684</v>
      </c>
      <c r="G57" s="5">
        <v>1.1172084367327799</v>
      </c>
      <c r="H57" s="5">
        <v>228653.146041056</v>
      </c>
    </row>
    <row r="58" spans="1:8" x14ac:dyDescent="0.25">
      <c r="A58" s="4" t="s">
        <v>67</v>
      </c>
      <c r="B58" s="4" t="s">
        <v>45</v>
      </c>
      <c r="C58" s="4">
        <v>150</v>
      </c>
      <c r="D58" s="5">
        <v>382.35884280132598</v>
      </c>
      <c r="E58" s="5">
        <v>346.82328595784998</v>
      </c>
      <c r="F58" s="5">
        <v>182.19424336964201</v>
      </c>
      <c r="G58" s="5">
        <v>1.1024601238793299</v>
      </c>
      <c r="H58" s="5">
        <v>218854.59133888199</v>
      </c>
    </row>
    <row r="59" spans="1:8" x14ac:dyDescent="0.25">
      <c r="A59" s="4" t="s">
        <v>68</v>
      </c>
      <c r="B59" s="4" t="s">
        <v>45</v>
      </c>
      <c r="C59" s="4">
        <v>150</v>
      </c>
      <c r="D59" s="5">
        <v>405.63012445745301</v>
      </c>
      <c r="E59" s="5">
        <v>351.67451704740103</v>
      </c>
      <c r="F59" s="5">
        <v>155.73024694460301</v>
      </c>
      <c r="G59" s="5">
        <v>1.15342484255912</v>
      </c>
      <c r="H59" s="5">
        <v>198450.88761539699</v>
      </c>
    </row>
    <row r="60" spans="1:8" x14ac:dyDescent="0.25">
      <c r="A60" s="4" t="s">
        <v>69</v>
      </c>
      <c r="B60" s="4" t="s">
        <v>45</v>
      </c>
      <c r="C60" s="4">
        <v>210</v>
      </c>
      <c r="D60" s="5">
        <v>484.54969799437902</v>
      </c>
      <c r="E60" s="5">
        <v>386.700558277977</v>
      </c>
      <c r="F60" s="5">
        <v>184.49804514563101</v>
      </c>
      <c r="G60" s="5">
        <v>1.2530359411740599</v>
      </c>
      <c r="H60" s="5">
        <v>280853.58305287</v>
      </c>
    </row>
    <row r="61" spans="1:8" x14ac:dyDescent="0.25">
      <c r="A61" s="4" t="s">
        <v>70</v>
      </c>
      <c r="B61" s="4" t="s">
        <v>45</v>
      </c>
      <c r="C61" s="4">
        <v>210</v>
      </c>
      <c r="D61" s="5">
        <v>418.44339253283903</v>
      </c>
      <c r="E61" s="5">
        <v>432.35867184466002</v>
      </c>
      <c r="F61" s="5">
        <v>199.71274480297001</v>
      </c>
      <c r="G61" s="5">
        <v>0.96781542682502097</v>
      </c>
      <c r="H61" s="5">
        <v>262538.11802485998</v>
      </c>
    </row>
    <row r="62" spans="1:8" x14ac:dyDescent="0.25">
      <c r="A62" s="4" t="s">
        <v>71</v>
      </c>
      <c r="B62" s="4" t="s">
        <v>45</v>
      </c>
      <c r="C62" s="4">
        <v>210</v>
      </c>
      <c r="D62" s="5">
        <v>403.33884339059</v>
      </c>
      <c r="E62" s="5">
        <v>454.57808639531999</v>
      </c>
      <c r="F62" s="5">
        <v>166.925207244212</v>
      </c>
      <c r="G62" s="5">
        <v>0.88728175744008397</v>
      </c>
      <c r="H62" s="5">
        <v>211515.328128202</v>
      </c>
    </row>
    <row r="63" spans="1:8" x14ac:dyDescent="0.25">
      <c r="A63" s="4" t="s">
        <v>72</v>
      </c>
      <c r="B63" s="4" t="s">
        <v>45</v>
      </c>
      <c r="C63" s="4">
        <v>210</v>
      </c>
      <c r="D63" s="5">
        <v>432.23198649602801</v>
      </c>
      <c r="E63" s="5">
        <v>413.01055077228602</v>
      </c>
      <c r="F63" s="5">
        <v>196.305929159312</v>
      </c>
      <c r="G63" s="5">
        <v>1.0465398176579299</v>
      </c>
      <c r="H63" s="5">
        <v>266563.19958747999</v>
      </c>
    </row>
    <row r="64" spans="1:8" x14ac:dyDescent="0.25">
      <c r="A64" s="4" t="s">
        <v>73</v>
      </c>
      <c r="B64" s="4" t="s">
        <v>45</v>
      </c>
      <c r="C64" s="4">
        <v>210</v>
      </c>
      <c r="D64" s="5">
        <v>417.24514799437901</v>
      </c>
      <c r="E64" s="5">
        <v>354.46615858456801</v>
      </c>
      <c r="F64" s="5">
        <v>149.04105162238099</v>
      </c>
      <c r="G64" s="5">
        <v>1.1771085557518299</v>
      </c>
      <c r="H64" s="5">
        <v>195365.14051439799</v>
      </c>
    </row>
    <row r="65" spans="1:8" x14ac:dyDescent="0.25">
      <c r="A65" s="4" t="s">
        <v>74</v>
      </c>
      <c r="B65" s="4" t="s">
        <v>45</v>
      </c>
      <c r="C65" s="4">
        <v>210</v>
      </c>
      <c r="D65" s="5">
        <v>436.97214893203898</v>
      </c>
      <c r="E65" s="5">
        <v>396.09219106796098</v>
      </c>
      <c r="F65" s="5">
        <v>166.69215783980599</v>
      </c>
      <c r="G65" s="5">
        <v>1.1032081893709</v>
      </c>
      <c r="H65" s="5">
        <v>228833.07614052901</v>
      </c>
    </row>
    <row r="66" spans="1:8" x14ac:dyDescent="0.25">
      <c r="A66" s="4" t="s">
        <v>75</v>
      </c>
      <c r="B66" s="4" t="s">
        <v>45</v>
      </c>
      <c r="C66" s="4">
        <v>300</v>
      </c>
      <c r="D66" s="5">
        <v>347.88208143571597</v>
      </c>
      <c r="E66" s="5">
        <v>402.03687022653702</v>
      </c>
      <c r="F66" s="5">
        <v>230.588298278906</v>
      </c>
      <c r="G66" s="5">
        <v>0.86529894942146401</v>
      </c>
      <c r="H66" s="5">
        <v>252010.82543087701</v>
      </c>
    </row>
    <row r="67" spans="1:8" x14ac:dyDescent="0.25">
      <c r="A67" s="4" t="s">
        <v>76</v>
      </c>
      <c r="B67" s="4" t="s">
        <v>45</v>
      </c>
      <c r="C67" s="4">
        <v>300</v>
      </c>
      <c r="D67" s="5">
        <v>364.87110180690399</v>
      </c>
      <c r="E67" s="5">
        <v>425.90711279665601</v>
      </c>
      <c r="F67" s="5">
        <v>191.41204181499501</v>
      </c>
      <c r="G67" s="5">
        <v>0.85669173123461595</v>
      </c>
      <c r="H67" s="5">
        <v>219411.10102945601</v>
      </c>
    </row>
    <row r="68" spans="1:8" x14ac:dyDescent="0.25">
      <c r="A68" s="4" t="s">
        <v>77</v>
      </c>
      <c r="B68" s="4" t="s">
        <v>45</v>
      </c>
      <c r="C68" s="4">
        <v>300</v>
      </c>
      <c r="D68" s="5">
        <v>400.54061957928798</v>
      </c>
      <c r="E68" s="5">
        <v>381.89461942826301</v>
      </c>
      <c r="F68" s="5">
        <v>213.877404649407</v>
      </c>
      <c r="G68" s="5">
        <v>1.04882498784335</v>
      </c>
      <c r="H68" s="5">
        <v>269129.52406014799</v>
      </c>
    </row>
    <row r="69" spans="1:8" x14ac:dyDescent="0.25">
      <c r="A69" s="4" t="s">
        <v>78</v>
      </c>
      <c r="B69" s="4" t="s">
        <v>45</v>
      </c>
      <c r="C69" s="4">
        <v>300</v>
      </c>
      <c r="D69" s="5">
        <v>327.35229829441101</v>
      </c>
      <c r="E69" s="5">
        <v>417.72427322225099</v>
      </c>
      <c r="F69" s="5">
        <v>215.06446113880901</v>
      </c>
      <c r="G69" s="5">
        <v>0.78365639556751998</v>
      </c>
      <c r="H69" s="5">
        <v>221173.92104682699</v>
      </c>
    </row>
    <row r="70" spans="1:8" x14ac:dyDescent="0.25">
      <c r="A70" s="4" t="s">
        <v>79</v>
      </c>
      <c r="B70" s="4" t="s">
        <v>45</v>
      </c>
      <c r="C70" s="4">
        <v>300</v>
      </c>
      <c r="D70" s="5">
        <v>300.20758089862301</v>
      </c>
      <c r="E70" s="5">
        <v>440.03723527884398</v>
      </c>
      <c r="F70" s="5">
        <v>186.76753778505301</v>
      </c>
      <c r="G70" s="5">
        <v>0.68223222225361602</v>
      </c>
      <c r="H70" s="5">
        <v>176146.05496880101</v>
      </c>
    </row>
    <row r="71" spans="1:8" x14ac:dyDescent="0.25">
      <c r="A71" s="4" t="s">
        <v>80</v>
      </c>
      <c r="B71" s="4" t="s">
        <v>45</v>
      </c>
      <c r="C71" s="4">
        <v>300</v>
      </c>
      <c r="D71" s="5">
        <v>416.18468079827397</v>
      </c>
      <c r="E71" s="5">
        <v>473.98312900485399</v>
      </c>
      <c r="F71" s="5">
        <v>194.81670625674201</v>
      </c>
      <c r="G71" s="5">
        <v>0.878058005296665</v>
      </c>
      <c r="H71" s="5">
        <v>254719.48006295401</v>
      </c>
    </row>
    <row r="73" spans="1:8" x14ac:dyDescent="0.25">
      <c r="E73" s="6"/>
      <c r="F73" s="6"/>
      <c r="G73" s="6"/>
      <c r="H73" s="6"/>
    </row>
    <row r="74" spans="1:8" x14ac:dyDescent="0.25">
      <c r="E74" s="6"/>
      <c r="F74" s="6"/>
      <c r="G74" s="6"/>
      <c r="H74" s="6"/>
    </row>
    <row r="75" spans="1:8" x14ac:dyDescent="0.25">
      <c r="E75" s="6"/>
      <c r="F75" s="6"/>
      <c r="G75" s="6"/>
      <c r="H75" s="6"/>
    </row>
    <row r="76" spans="1:8" x14ac:dyDescent="0.25">
      <c r="G76" s="6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8"/>
  <sheetViews>
    <sheetView topLeftCell="A61" workbookViewId="0">
      <selection activeCell="F79" sqref="F79"/>
    </sheetView>
  </sheetViews>
  <sheetFormatPr defaultColWidth="8.7265625" defaultRowHeight="14" x14ac:dyDescent="0.25"/>
  <cols>
    <col min="1" max="1" width="8.7265625" style="2"/>
    <col min="2" max="2" width="10.6328125" style="2" customWidth="1"/>
    <col min="3" max="3" width="8.7265625" style="2"/>
    <col min="4" max="4" width="18.26953125" style="3" customWidth="1"/>
    <col min="5" max="5" width="15.08984375" style="3" customWidth="1"/>
    <col min="6" max="6" width="15.90625" style="3" customWidth="1"/>
    <col min="7" max="7" width="18.26953125" style="3" customWidth="1"/>
    <col min="8" max="8" width="20.453125" style="3" customWidth="1"/>
    <col min="9" max="16384" width="8.7265625" style="1"/>
  </cols>
  <sheetData>
    <row r="1" spans="1:8" ht="16" x14ac:dyDescent="0.25">
      <c r="A1" s="4" t="s">
        <v>0</v>
      </c>
      <c r="B1" s="4" t="s">
        <v>1</v>
      </c>
      <c r="C1" s="4" t="s">
        <v>2</v>
      </c>
      <c r="D1" s="5" t="s">
        <v>81</v>
      </c>
      <c r="E1" s="5" t="s">
        <v>82</v>
      </c>
      <c r="F1" s="5" t="s">
        <v>83</v>
      </c>
      <c r="G1" s="5" t="s">
        <v>84</v>
      </c>
      <c r="H1" s="5" t="s">
        <v>85</v>
      </c>
    </row>
    <row r="2" spans="1:8" x14ac:dyDescent="0.25">
      <c r="A2" s="4" t="s">
        <v>7</v>
      </c>
      <c r="B2" s="4" t="s">
        <v>8</v>
      </c>
      <c r="C2" s="4">
        <v>30</v>
      </c>
      <c r="D2" s="5">
        <v>317.31893659999997</v>
      </c>
      <c r="E2" s="5">
        <v>172.94316800000001</v>
      </c>
      <c r="F2" s="5">
        <v>111.2891133</v>
      </c>
      <c r="G2" s="5">
        <f t="shared" ref="G2:G65" si="0">D2/E2</f>
        <v>1.8348162594084101</v>
      </c>
      <c r="H2" s="5">
        <f t="shared" ref="H2:H65" si="1">D2*F2*PI()</f>
        <v>110942.652491549</v>
      </c>
    </row>
    <row r="3" spans="1:8" x14ac:dyDescent="0.25">
      <c r="A3" s="4" t="s">
        <v>9</v>
      </c>
      <c r="B3" s="4" t="s">
        <v>8</v>
      </c>
      <c r="C3" s="4">
        <v>30</v>
      </c>
      <c r="D3" s="5">
        <v>261.97293200000001</v>
      </c>
      <c r="E3" s="5">
        <v>160.54291090000001</v>
      </c>
      <c r="F3" s="5">
        <v>108.12642049999999</v>
      </c>
      <c r="G3" s="5">
        <f t="shared" si="0"/>
        <v>1.6317938333831501</v>
      </c>
      <c r="H3" s="5">
        <f t="shared" si="1"/>
        <v>88989.3673886537</v>
      </c>
    </row>
    <row r="4" spans="1:8" x14ac:dyDescent="0.25">
      <c r="A4" s="4" t="s">
        <v>10</v>
      </c>
      <c r="B4" s="4" t="s">
        <v>8</v>
      </c>
      <c r="C4" s="4">
        <v>30</v>
      </c>
      <c r="D4" s="5">
        <v>162.51513840000001</v>
      </c>
      <c r="E4" s="5">
        <v>250.417505097087</v>
      </c>
      <c r="F4" s="5">
        <v>100.419183360784</v>
      </c>
      <c r="G4" s="5">
        <f t="shared" si="0"/>
        <v>0.64897674919727699</v>
      </c>
      <c r="H4" s="5">
        <f t="shared" si="1"/>
        <v>51269.653222362998</v>
      </c>
    </row>
    <row r="5" spans="1:8" x14ac:dyDescent="0.25">
      <c r="A5" s="4" t="s">
        <v>11</v>
      </c>
      <c r="B5" s="4" t="s">
        <v>8</v>
      </c>
      <c r="C5" s="4">
        <v>30</v>
      </c>
      <c r="D5" s="5">
        <v>300.844773236246</v>
      </c>
      <c r="E5" s="5">
        <v>190.03695666666701</v>
      </c>
      <c r="F5" s="5">
        <v>89.701442904530694</v>
      </c>
      <c r="G5" s="5">
        <f t="shared" si="0"/>
        <v>1.5830856193089899</v>
      </c>
      <c r="H5" s="5">
        <f t="shared" si="1"/>
        <v>84779.679868302599</v>
      </c>
    </row>
    <row r="6" spans="1:8" x14ac:dyDescent="0.25">
      <c r="A6" s="4" t="s">
        <v>12</v>
      </c>
      <c r="B6" s="4" t="s">
        <v>8</v>
      </c>
      <c r="C6" s="4">
        <v>30</v>
      </c>
      <c r="D6" s="5">
        <v>238.65357798543701</v>
      </c>
      <c r="E6" s="5">
        <v>227.91118401699001</v>
      </c>
      <c r="F6" s="5">
        <v>97.280916250000004</v>
      </c>
      <c r="G6" s="5">
        <f t="shared" si="0"/>
        <v>1.04713412382451</v>
      </c>
      <c r="H6" s="5">
        <f t="shared" si="1"/>
        <v>72936.593365369394</v>
      </c>
    </row>
    <row r="7" spans="1:8" x14ac:dyDescent="0.25">
      <c r="A7" s="4" t="s">
        <v>13</v>
      </c>
      <c r="B7" s="4" t="s">
        <v>8</v>
      </c>
      <c r="C7" s="4">
        <v>30</v>
      </c>
      <c r="D7" s="5">
        <v>290.94866165844297</v>
      </c>
      <c r="E7" s="5">
        <v>168.043833391692</v>
      </c>
      <c r="F7" s="5">
        <v>113.370869210568</v>
      </c>
      <c r="G7" s="5">
        <f t="shared" si="0"/>
        <v>1.7313855307042001</v>
      </c>
      <c r="H7" s="5">
        <f t="shared" si="1"/>
        <v>103625.75621928299</v>
      </c>
    </row>
    <row r="8" spans="1:8" x14ac:dyDescent="0.25">
      <c r="A8" s="4" t="s">
        <v>14</v>
      </c>
      <c r="B8" s="4" t="s">
        <v>8</v>
      </c>
      <c r="C8" s="4">
        <v>60</v>
      </c>
      <c r="D8" s="5">
        <v>273.60851935483902</v>
      </c>
      <c r="E8" s="5">
        <v>259.11068361258998</v>
      </c>
      <c r="F8" s="5">
        <v>125.840078311932</v>
      </c>
      <c r="G8" s="5">
        <f t="shared" si="0"/>
        <v>1.05595228857458</v>
      </c>
      <c r="H8" s="5">
        <f t="shared" si="1"/>
        <v>108167.917481974</v>
      </c>
    </row>
    <row r="9" spans="1:8" x14ac:dyDescent="0.25">
      <c r="A9" s="4" t="s">
        <v>15</v>
      </c>
      <c r="B9" s="4" t="s">
        <v>8</v>
      </c>
      <c r="C9" s="4">
        <v>60</v>
      </c>
      <c r="D9" s="5">
        <v>280.291873269652</v>
      </c>
      <c r="E9" s="5">
        <v>180.10633799718099</v>
      </c>
      <c r="F9" s="5">
        <v>139.30126351393699</v>
      </c>
      <c r="G9" s="5">
        <f t="shared" si="0"/>
        <v>1.5562576885775099</v>
      </c>
      <c r="H9" s="5">
        <f t="shared" si="1"/>
        <v>122663.523170017</v>
      </c>
    </row>
    <row r="10" spans="1:8" x14ac:dyDescent="0.25">
      <c r="A10" s="4" t="s">
        <v>16</v>
      </c>
      <c r="B10" s="4" t="s">
        <v>8</v>
      </c>
      <c r="C10" s="4">
        <v>60</v>
      </c>
      <c r="D10" s="5">
        <v>202.68774753120701</v>
      </c>
      <c r="E10" s="5">
        <v>200.13753143550599</v>
      </c>
      <c r="F10" s="5">
        <v>104.33923571914001</v>
      </c>
      <c r="G10" s="5">
        <f t="shared" si="0"/>
        <v>1.0127423181319799</v>
      </c>
      <c r="H10" s="5">
        <f t="shared" si="1"/>
        <v>66439.295745998999</v>
      </c>
    </row>
    <row r="11" spans="1:8" x14ac:dyDescent="0.25">
      <c r="A11" s="4" t="s">
        <v>17</v>
      </c>
      <c r="B11" s="4" t="s">
        <v>8</v>
      </c>
      <c r="C11" s="4">
        <v>60</v>
      </c>
      <c r="D11" s="5">
        <v>360.36254784587402</v>
      </c>
      <c r="E11" s="5">
        <v>268.57202539441698</v>
      </c>
      <c r="F11" s="5">
        <v>147.92267719963601</v>
      </c>
      <c r="G11" s="5">
        <f t="shared" si="0"/>
        <v>1.3417724624024301</v>
      </c>
      <c r="H11" s="5">
        <f t="shared" si="1"/>
        <v>167465.08717943201</v>
      </c>
    </row>
    <row r="12" spans="1:8" x14ac:dyDescent="0.25">
      <c r="A12" s="4" t="s">
        <v>18</v>
      </c>
      <c r="B12" s="4" t="s">
        <v>8</v>
      </c>
      <c r="C12" s="4">
        <v>60</v>
      </c>
      <c r="D12" s="5">
        <v>252.843367475728</v>
      </c>
      <c r="E12" s="5">
        <v>196.00648627466299</v>
      </c>
      <c r="F12" s="5">
        <v>129.976991199499</v>
      </c>
      <c r="G12" s="5">
        <f t="shared" si="0"/>
        <v>1.2899744915656499</v>
      </c>
      <c r="H12" s="5">
        <f t="shared" si="1"/>
        <v>103244.73594976201</v>
      </c>
    </row>
    <row r="13" spans="1:8" x14ac:dyDescent="0.25">
      <c r="A13" s="4" t="s">
        <v>19</v>
      </c>
      <c r="B13" s="4" t="s">
        <v>8</v>
      </c>
      <c r="C13" s="4">
        <v>60</v>
      </c>
      <c r="D13" s="5">
        <v>347.93245232165498</v>
      </c>
      <c r="E13" s="5">
        <v>247.36976950893501</v>
      </c>
      <c r="F13" s="5">
        <v>142.05911468270699</v>
      </c>
      <c r="G13" s="5">
        <f t="shared" si="0"/>
        <v>1.4065277782824901</v>
      </c>
      <c r="H13" s="5">
        <f t="shared" si="1"/>
        <v>155279.425150052</v>
      </c>
    </row>
    <row r="14" spans="1:8" x14ac:dyDescent="0.25">
      <c r="A14" s="4" t="s">
        <v>20</v>
      </c>
      <c r="B14" s="4" t="s">
        <v>8</v>
      </c>
      <c r="C14" s="4">
        <v>90</v>
      </c>
      <c r="D14" s="5">
        <v>400.92575495145599</v>
      </c>
      <c r="E14" s="5">
        <v>327.32430948808502</v>
      </c>
      <c r="F14" s="5">
        <v>171.377923592233</v>
      </c>
      <c r="G14" s="5">
        <f t="shared" si="0"/>
        <v>1.22485786521166</v>
      </c>
      <c r="H14" s="5">
        <f t="shared" si="1"/>
        <v>215858.27641732799</v>
      </c>
    </row>
    <row r="15" spans="1:8" x14ac:dyDescent="0.25">
      <c r="A15" s="4" t="s">
        <v>21</v>
      </c>
      <c r="B15" s="4" t="s">
        <v>8</v>
      </c>
      <c r="C15" s="4">
        <v>90</v>
      </c>
      <c r="D15" s="5">
        <v>337.29679095246098</v>
      </c>
      <c r="E15" s="5">
        <v>264.33990778372998</v>
      </c>
      <c r="F15" s="5">
        <v>125.35508179611701</v>
      </c>
      <c r="G15" s="5">
        <f t="shared" si="0"/>
        <v>1.2759964765835501</v>
      </c>
      <c r="H15" s="5">
        <f t="shared" si="1"/>
        <v>132832.40217993199</v>
      </c>
    </row>
    <row r="16" spans="1:8" x14ac:dyDescent="0.25">
      <c r="A16" s="4" t="s">
        <v>22</v>
      </c>
      <c r="B16" s="4" t="s">
        <v>8</v>
      </c>
      <c r="C16" s="4">
        <v>90</v>
      </c>
      <c r="D16" s="5">
        <v>262.62676772361101</v>
      </c>
      <c r="E16" s="5">
        <v>333.36728451766197</v>
      </c>
      <c r="F16" s="5">
        <v>183.09474565172499</v>
      </c>
      <c r="G16" s="5">
        <f t="shared" si="0"/>
        <v>0.78780006293538096</v>
      </c>
      <c r="H16" s="5">
        <f t="shared" si="1"/>
        <v>151065.30875992001</v>
      </c>
    </row>
    <row r="17" spans="1:8" x14ac:dyDescent="0.25">
      <c r="A17" s="4" t="s">
        <v>23</v>
      </c>
      <c r="B17" s="4" t="s">
        <v>8</v>
      </c>
      <c r="C17" s="4">
        <v>90</v>
      </c>
      <c r="D17" s="5">
        <v>255.131642100618</v>
      </c>
      <c r="E17" s="5">
        <v>359.129570609003</v>
      </c>
      <c r="F17" s="5">
        <v>136.13676971167999</v>
      </c>
      <c r="G17" s="5">
        <f t="shared" si="0"/>
        <v>0.71041669352922399</v>
      </c>
      <c r="H17" s="5">
        <f t="shared" si="1"/>
        <v>109116.30180019001</v>
      </c>
    </row>
    <row r="18" spans="1:8" x14ac:dyDescent="0.25">
      <c r="A18" s="4" t="s">
        <v>24</v>
      </c>
      <c r="B18" s="4" t="s">
        <v>8</v>
      </c>
      <c r="C18" s="4">
        <v>90</v>
      </c>
      <c r="D18" s="5">
        <v>365.69838212146198</v>
      </c>
      <c r="E18" s="5">
        <v>328.33383394959702</v>
      </c>
      <c r="F18" s="5">
        <v>188.45906485230299</v>
      </c>
      <c r="G18" s="5">
        <f t="shared" si="0"/>
        <v>1.1138004808167301</v>
      </c>
      <c r="H18" s="5">
        <f t="shared" si="1"/>
        <v>216515.97422524699</v>
      </c>
    </row>
    <row r="19" spans="1:8" x14ac:dyDescent="0.25">
      <c r="A19" s="4" t="s">
        <v>25</v>
      </c>
      <c r="B19" s="4" t="s">
        <v>8</v>
      </c>
      <c r="C19" s="4">
        <v>90</v>
      </c>
      <c r="D19" s="5">
        <v>368.61950465210401</v>
      </c>
      <c r="E19" s="5">
        <v>279.53512753843</v>
      </c>
      <c r="F19" s="5">
        <v>179.60699088794499</v>
      </c>
      <c r="G19" s="5">
        <f t="shared" si="0"/>
        <v>1.3186875935705999</v>
      </c>
      <c r="H19" s="5">
        <f t="shared" si="1"/>
        <v>207994.29388423701</v>
      </c>
    </row>
    <row r="20" spans="1:8" x14ac:dyDescent="0.25">
      <c r="A20" s="4" t="s">
        <v>26</v>
      </c>
      <c r="B20" s="4" t="s">
        <v>8</v>
      </c>
      <c r="C20" s="4">
        <v>150</v>
      </c>
      <c r="D20" s="5">
        <v>522.62153825705002</v>
      </c>
      <c r="E20" s="5">
        <v>358.45381434350401</v>
      </c>
      <c r="F20" s="5">
        <v>203.53831425103999</v>
      </c>
      <c r="G20" s="5">
        <f t="shared" si="0"/>
        <v>1.45798849766521</v>
      </c>
      <c r="H20" s="5">
        <f t="shared" si="1"/>
        <v>334182.22777631797</v>
      </c>
    </row>
    <row r="21" spans="1:8" x14ac:dyDescent="0.25">
      <c r="A21" s="4" t="s">
        <v>27</v>
      </c>
      <c r="B21" s="4" t="s">
        <v>8</v>
      </c>
      <c r="C21" s="4">
        <v>150</v>
      </c>
      <c r="D21" s="5">
        <v>344.34686804207098</v>
      </c>
      <c r="E21" s="5">
        <v>327.33193747977401</v>
      </c>
      <c r="F21" s="5">
        <v>152.49187167273499</v>
      </c>
      <c r="G21" s="5">
        <f t="shared" si="0"/>
        <v>1.0519806612617799</v>
      </c>
      <c r="H21" s="5">
        <f t="shared" si="1"/>
        <v>164965.33941160899</v>
      </c>
    </row>
    <row r="22" spans="1:8" x14ac:dyDescent="0.25">
      <c r="A22" s="4" t="s">
        <v>28</v>
      </c>
      <c r="B22" s="4" t="s">
        <v>8</v>
      </c>
      <c r="C22" s="4">
        <v>150</v>
      </c>
      <c r="D22" s="5">
        <v>395.82394372241799</v>
      </c>
      <c r="E22" s="5">
        <v>333.350709741836</v>
      </c>
      <c r="F22" s="5">
        <v>174.53530305604599</v>
      </c>
      <c r="G22" s="5">
        <f t="shared" si="0"/>
        <v>1.1874099324071199</v>
      </c>
      <c r="H22" s="5">
        <f t="shared" si="1"/>
        <v>217037.720074274</v>
      </c>
    </row>
    <row r="23" spans="1:8" x14ac:dyDescent="0.25">
      <c r="A23" s="4" t="s">
        <v>29</v>
      </c>
      <c r="B23" s="4" t="s">
        <v>8</v>
      </c>
      <c r="C23" s="4">
        <v>150</v>
      </c>
      <c r="D23" s="5">
        <v>415.85780276487998</v>
      </c>
      <c r="E23" s="5">
        <v>315.11082549599001</v>
      </c>
      <c r="F23" s="5">
        <v>167.761002458843</v>
      </c>
      <c r="G23" s="5">
        <f t="shared" si="0"/>
        <v>1.3197191880358701</v>
      </c>
      <c r="H23" s="5">
        <f t="shared" si="1"/>
        <v>219172.337713338</v>
      </c>
    </row>
    <row r="24" spans="1:8" x14ac:dyDescent="0.25">
      <c r="A24" s="4" t="s">
        <v>30</v>
      </c>
      <c r="B24" s="4" t="s">
        <v>8</v>
      </c>
      <c r="C24" s="4">
        <v>150</v>
      </c>
      <c r="D24" s="5">
        <v>382.03881588938998</v>
      </c>
      <c r="E24" s="5">
        <v>325.70140520110999</v>
      </c>
      <c r="F24" s="5">
        <v>171.97737161927901</v>
      </c>
      <c r="G24" s="5">
        <f t="shared" si="0"/>
        <v>1.1729725748450299</v>
      </c>
      <c r="H24" s="5">
        <f t="shared" si="1"/>
        <v>206409.01921363201</v>
      </c>
    </row>
    <row r="25" spans="1:8" x14ac:dyDescent="0.25">
      <c r="A25" s="4" t="s">
        <v>31</v>
      </c>
      <c r="B25" s="4" t="s">
        <v>8</v>
      </c>
      <c r="C25" s="4">
        <v>150</v>
      </c>
      <c r="D25" s="5">
        <v>426.11581271125499</v>
      </c>
      <c r="E25" s="5">
        <v>372.53902260877402</v>
      </c>
      <c r="F25" s="5">
        <v>172.56271559690799</v>
      </c>
      <c r="G25" s="5">
        <f t="shared" si="0"/>
        <v>1.1438152431047299</v>
      </c>
      <c r="H25" s="5">
        <f t="shared" si="1"/>
        <v>231006.65418158201</v>
      </c>
    </row>
    <row r="26" spans="1:8" x14ac:dyDescent="0.25">
      <c r="A26" s="4" t="s">
        <v>32</v>
      </c>
      <c r="B26" s="4" t="s">
        <v>8</v>
      </c>
      <c r="C26" s="4">
        <v>210</v>
      </c>
      <c r="D26" s="5">
        <v>336.18365052645999</v>
      </c>
      <c r="E26" s="5">
        <v>217.05505891563001</v>
      </c>
      <c r="F26" s="5">
        <v>129.72933792561199</v>
      </c>
      <c r="G26" s="5">
        <f t="shared" si="0"/>
        <v>1.5488404288108999</v>
      </c>
      <c r="H26" s="5">
        <f t="shared" si="1"/>
        <v>137013.91096295099</v>
      </c>
    </row>
    <row r="27" spans="1:8" x14ac:dyDescent="0.25">
      <c r="A27" s="4" t="s">
        <v>33</v>
      </c>
      <c r="B27" s="4" t="s">
        <v>8</v>
      </c>
      <c r="C27" s="4">
        <v>210</v>
      </c>
      <c r="D27" s="5">
        <v>296.746445270668</v>
      </c>
      <c r="E27" s="5">
        <v>217.68060693586301</v>
      </c>
      <c r="F27" s="5">
        <v>151.41141135628101</v>
      </c>
      <c r="G27" s="5">
        <f t="shared" si="0"/>
        <v>1.3632194867873599</v>
      </c>
      <c r="H27" s="5">
        <f t="shared" si="1"/>
        <v>141154.26521012399</v>
      </c>
    </row>
    <row r="28" spans="1:8" x14ac:dyDescent="0.25">
      <c r="A28" s="4" t="s">
        <v>34</v>
      </c>
      <c r="B28" s="4" t="s">
        <v>8</v>
      </c>
      <c r="C28" s="4">
        <v>210</v>
      </c>
      <c r="D28" s="5">
        <v>379.25989557713098</v>
      </c>
      <c r="E28" s="5">
        <v>214.543403475112</v>
      </c>
      <c r="F28" s="5">
        <v>182.57553517491101</v>
      </c>
      <c r="G28" s="5">
        <f t="shared" si="0"/>
        <v>1.76775370127438</v>
      </c>
      <c r="H28" s="5">
        <f t="shared" si="1"/>
        <v>217535.11722659701</v>
      </c>
    </row>
    <row r="29" spans="1:8" x14ac:dyDescent="0.25">
      <c r="A29" s="4" t="s">
        <v>35</v>
      </c>
      <c r="B29" s="4" t="s">
        <v>8</v>
      </c>
      <c r="C29" s="4">
        <v>210</v>
      </c>
      <c r="D29" s="5">
        <v>611.81347883640001</v>
      </c>
      <c r="E29" s="5">
        <v>300.365435270251</v>
      </c>
      <c r="F29" s="5">
        <v>157.613460259383</v>
      </c>
      <c r="G29" s="5">
        <f t="shared" si="0"/>
        <v>2.0368970826684101</v>
      </c>
      <c r="H29" s="5">
        <f t="shared" si="1"/>
        <v>302943.90346725698</v>
      </c>
    </row>
    <row r="30" spans="1:8" x14ac:dyDescent="0.25">
      <c r="A30" s="4" t="s">
        <v>36</v>
      </c>
      <c r="B30" s="4" t="s">
        <v>8</v>
      </c>
      <c r="C30" s="4">
        <v>210</v>
      </c>
      <c r="D30" s="5">
        <v>508.17127482449598</v>
      </c>
      <c r="E30" s="5">
        <v>285.20345471994</v>
      </c>
      <c r="F30" s="5">
        <v>207.99494669902899</v>
      </c>
      <c r="G30" s="5">
        <f t="shared" si="0"/>
        <v>1.7817851306307</v>
      </c>
      <c r="H30" s="5">
        <f t="shared" si="1"/>
        <v>332057.09847186401</v>
      </c>
    </row>
    <row r="31" spans="1:8" x14ac:dyDescent="0.25">
      <c r="A31" s="4" t="s">
        <v>37</v>
      </c>
      <c r="B31" s="4" t="s">
        <v>8</v>
      </c>
      <c r="C31" s="4">
        <v>210</v>
      </c>
      <c r="D31" s="5">
        <v>400.86584708090601</v>
      </c>
      <c r="E31" s="5">
        <v>245.07751741100299</v>
      </c>
      <c r="F31" s="5">
        <v>144.62217587702301</v>
      </c>
      <c r="G31" s="5">
        <f t="shared" si="0"/>
        <v>1.6356696090104501</v>
      </c>
      <c r="H31" s="5">
        <f t="shared" si="1"/>
        <v>182130.978508637</v>
      </c>
    </row>
    <row r="32" spans="1:8" x14ac:dyDescent="0.25">
      <c r="A32" s="4" t="s">
        <v>38</v>
      </c>
      <c r="B32" s="4" t="s">
        <v>8</v>
      </c>
      <c r="C32" s="4">
        <v>300</v>
      </c>
      <c r="D32" s="5">
        <v>344.734818808753</v>
      </c>
      <c r="E32" s="5">
        <v>303.14565262752399</v>
      </c>
      <c r="F32" s="5">
        <v>149.21236229773501</v>
      </c>
      <c r="G32" s="5">
        <f t="shared" si="0"/>
        <v>1.13719202574985</v>
      </c>
      <c r="H32" s="5">
        <f t="shared" si="1"/>
        <v>161599.431602433</v>
      </c>
    </row>
    <row r="33" spans="1:8" x14ac:dyDescent="0.25">
      <c r="A33" s="4" t="s">
        <v>39</v>
      </c>
      <c r="B33" s="4" t="s">
        <v>8</v>
      </c>
      <c r="C33" s="4">
        <v>300</v>
      </c>
      <c r="D33" s="5">
        <v>348.201279474263</v>
      </c>
      <c r="E33" s="5">
        <v>485.32848111375699</v>
      </c>
      <c r="F33" s="5">
        <v>163.992114737131</v>
      </c>
      <c r="G33" s="5">
        <f t="shared" si="0"/>
        <v>0.71745486412664805</v>
      </c>
      <c r="H33" s="5">
        <f t="shared" si="1"/>
        <v>179392.05363602401</v>
      </c>
    </row>
    <row r="34" spans="1:8" x14ac:dyDescent="0.25">
      <c r="A34" s="4" t="s">
        <v>40</v>
      </c>
      <c r="B34" s="4" t="s">
        <v>8</v>
      </c>
      <c r="C34" s="4">
        <v>300</v>
      </c>
      <c r="D34" s="5">
        <v>381.203763428142</v>
      </c>
      <c r="E34" s="5">
        <v>279.69749989060603</v>
      </c>
      <c r="F34" s="5">
        <v>152.38539981539699</v>
      </c>
      <c r="G34" s="5">
        <f t="shared" si="0"/>
        <v>1.3629144471339101</v>
      </c>
      <c r="H34" s="5">
        <f t="shared" si="1"/>
        <v>182494.76507804901</v>
      </c>
    </row>
    <row r="35" spans="1:8" x14ac:dyDescent="0.25">
      <c r="A35" s="4" t="s">
        <v>41</v>
      </c>
      <c r="B35" s="4" t="s">
        <v>8</v>
      </c>
      <c r="C35" s="4">
        <v>300</v>
      </c>
      <c r="D35" s="5">
        <v>352.185105021011</v>
      </c>
      <c r="E35" s="5">
        <v>222.04404851470801</v>
      </c>
      <c r="F35" s="5">
        <v>128.121198869729</v>
      </c>
      <c r="G35" s="5">
        <f t="shared" si="0"/>
        <v>1.5861046822774101</v>
      </c>
      <c r="H35" s="5">
        <f t="shared" si="1"/>
        <v>141756.13085827901</v>
      </c>
    </row>
    <row r="36" spans="1:8" x14ac:dyDescent="0.25">
      <c r="A36" s="4" t="s">
        <v>42</v>
      </c>
      <c r="B36" s="4" t="s">
        <v>8</v>
      </c>
      <c r="C36" s="4">
        <v>300</v>
      </c>
      <c r="D36" s="5">
        <v>340.75704863649298</v>
      </c>
      <c r="E36" s="5">
        <v>231.92060178469399</v>
      </c>
      <c r="F36" s="5">
        <v>139.01570328383801</v>
      </c>
      <c r="G36" s="5">
        <f t="shared" si="0"/>
        <v>1.46928322026707</v>
      </c>
      <c r="H36" s="5">
        <f t="shared" si="1"/>
        <v>148819.06852800501</v>
      </c>
    </row>
    <row r="37" spans="1:8" x14ac:dyDescent="0.25">
      <c r="A37" s="4" t="s">
        <v>43</v>
      </c>
      <c r="B37" s="4" t="s">
        <v>8</v>
      </c>
      <c r="C37" s="4">
        <v>300</v>
      </c>
      <c r="D37" s="5">
        <v>246.735216253467</v>
      </c>
      <c r="E37" s="5">
        <v>189.389869027392</v>
      </c>
      <c r="F37" s="5">
        <v>134.89162057905699</v>
      </c>
      <c r="G37" s="5">
        <f t="shared" si="0"/>
        <v>1.3027899407743999</v>
      </c>
      <c r="H37" s="5">
        <f t="shared" si="1"/>
        <v>104560.098881557</v>
      </c>
    </row>
    <row r="38" spans="1:8" x14ac:dyDescent="0.25">
      <c r="A38" s="4" t="s">
        <v>44</v>
      </c>
      <c r="B38" s="4" t="s">
        <v>45</v>
      </c>
      <c r="C38" s="4">
        <v>30</v>
      </c>
      <c r="D38" s="5">
        <v>264.16520211826997</v>
      </c>
      <c r="E38" s="5">
        <v>307.63520545748798</v>
      </c>
      <c r="F38" s="5">
        <v>129.842860650191</v>
      </c>
      <c r="G38" s="5">
        <f t="shared" si="0"/>
        <v>0.85869626568073298</v>
      </c>
      <c r="H38" s="5">
        <f t="shared" si="1"/>
        <v>107756.519718861</v>
      </c>
    </row>
    <row r="39" spans="1:8" x14ac:dyDescent="0.25">
      <c r="A39" s="4" t="s">
        <v>46</v>
      </c>
      <c r="B39" s="4" t="s">
        <v>45</v>
      </c>
      <c r="C39" s="4">
        <v>30</v>
      </c>
      <c r="D39" s="5">
        <v>304.59711304501297</v>
      </c>
      <c r="E39" s="5">
        <v>304.10378011474</v>
      </c>
      <c r="F39" s="5">
        <v>150.66192168578999</v>
      </c>
      <c r="G39" s="5">
        <f t="shared" si="0"/>
        <v>1.00162225188417</v>
      </c>
      <c r="H39" s="5">
        <f t="shared" si="1"/>
        <v>144171.41403144499</v>
      </c>
    </row>
    <row r="40" spans="1:8" x14ac:dyDescent="0.25">
      <c r="A40" s="4" t="s">
        <v>47</v>
      </c>
      <c r="B40" s="4" t="s">
        <v>45</v>
      </c>
      <c r="C40" s="4">
        <v>30</v>
      </c>
      <c r="D40" s="5">
        <v>224.52323077467599</v>
      </c>
      <c r="E40" s="5">
        <v>281.95150120347898</v>
      </c>
      <c r="F40" s="5">
        <v>136.921979085761</v>
      </c>
      <c r="G40" s="5">
        <f t="shared" si="0"/>
        <v>0.79631862152293298</v>
      </c>
      <c r="H40" s="5">
        <f t="shared" si="1"/>
        <v>96579.360059986604</v>
      </c>
    </row>
    <row r="41" spans="1:8" x14ac:dyDescent="0.25">
      <c r="A41" s="4" t="s">
        <v>48</v>
      </c>
      <c r="B41" s="4" t="s">
        <v>45</v>
      </c>
      <c r="C41" s="4">
        <v>30</v>
      </c>
      <c r="D41" s="5">
        <v>260.28540071844702</v>
      </c>
      <c r="E41" s="5">
        <v>283.541687339806</v>
      </c>
      <c r="F41" s="5">
        <v>135.01363379611601</v>
      </c>
      <c r="G41" s="5">
        <f t="shared" si="0"/>
        <v>0.91797930371526704</v>
      </c>
      <c r="H41" s="5">
        <f t="shared" si="1"/>
        <v>110402.093370059</v>
      </c>
    </row>
    <row r="42" spans="1:8" x14ac:dyDescent="0.25">
      <c r="A42" s="4" t="s">
        <v>49</v>
      </c>
      <c r="B42" s="4" t="s">
        <v>45</v>
      </c>
      <c r="C42" s="4">
        <v>30</v>
      </c>
      <c r="D42" s="5">
        <v>231.85703954443599</v>
      </c>
      <c r="E42" s="5">
        <v>274.54493623973099</v>
      </c>
      <c r="F42" s="5">
        <v>123.12382163928299</v>
      </c>
      <c r="G42" s="5">
        <f t="shared" si="0"/>
        <v>0.84451399002303895</v>
      </c>
      <c r="H42" s="5">
        <f t="shared" si="1"/>
        <v>89683.437498382802</v>
      </c>
    </row>
    <row r="43" spans="1:8" x14ac:dyDescent="0.25">
      <c r="A43" s="4" t="s">
        <v>50</v>
      </c>
      <c r="B43" s="4" t="s">
        <v>45</v>
      </c>
      <c r="C43" s="4">
        <v>30</v>
      </c>
      <c r="D43" s="5">
        <v>296.58488408845699</v>
      </c>
      <c r="E43" s="5">
        <v>300.60054223301</v>
      </c>
      <c r="F43" s="5">
        <v>134.79817999820199</v>
      </c>
      <c r="G43" s="5">
        <f t="shared" si="0"/>
        <v>0.98664121456760301</v>
      </c>
      <c r="H43" s="5">
        <f t="shared" si="1"/>
        <v>125598.054994176</v>
      </c>
    </row>
    <row r="44" spans="1:8" x14ac:dyDescent="0.25">
      <c r="A44" s="4" t="s">
        <v>51</v>
      </c>
      <c r="B44" s="4" t="s">
        <v>45</v>
      </c>
      <c r="C44" s="4">
        <v>60</v>
      </c>
      <c r="D44" s="5">
        <v>263.168313230737</v>
      </c>
      <c r="E44" s="5">
        <v>287.39222588308201</v>
      </c>
      <c r="F44" s="5">
        <v>153.34210992563499</v>
      </c>
      <c r="G44" s="5">
        <f t="shared" si="0"/>
        <v>0.91571131550997498</v>
      </c>
      <c r="H44" s="5">
        <f t="shared" si="1"/>
        <v>126778.294259673</v>
      </c>
    </row>
    <row r="45" spans="1:8" x14ac:dyDescent="0.25">
      <c r="A45" s="4" t="s">
        <v>52</v>
      </c>
      <c r="B45" s="4" t="s">
        <v>45</v>
      </c>
      <c r="C45" s="4">
        <v>60</v>
      </c>
      <c r="D45" s="5">
        <v>307.17102680783398</v>
      </c>
      <c r="E45" s="5">
        <v>322.87859126213601</v>
      </c>
      <c r="F45" s="5">
        <v>155.17334853532</v>
      </c>
      <c r="G45" s="5">
        <f t="shared" si="0"/>
        <v>0.95135148356259502</v>
      </c>
      <c r="H45" s="5">
        <f t="shared" si="1"/>
        <v>149743.24980683401</v>
      </c>
    </row>
    <row r="46" spans="1:8" x14ac:dyDescent="0.25">
      <c r="A46" s="4" t="s">
        <v>53</v>
      </c>
      <c r="B46" s="4" t="s">
        <v>45</v>
      </c>
      <c r="C46" s="4">
        <v>60</v>
      </c>
      <c r="D46" s="5">
        <v>332.14045772285999</v>
      </c>
      <c r="E46" s="5">
        <v>346.63099304942602</v>
      </c>
      <c r="F46" s="5">
        <v>162.214182700794</v>
      </c>
      <c r="G46" s="5">
        <f t="shared" si="0"/>
        <v>0.95819607704698295</v>
      </c>
      <c r="H46" s="5">
        <f t="shared" si="1"/>
        <v>169262.39249846101</v>
      </c>
    </row>
    <row r="47" spans="1:8" x14ac:dyDescent="0.25">
      <c r="A47" s="4" t="s">
        <v>54</v>
      </c>
      <c r="B47" s="4" t="s">
        <v>45</v>
      </c>
      <c r="C47" s="4">
        <v>60</v>
      </c>
      <c r="D47" s="5">
        <v>302.69112143537001</v>
      </c>
      <c r="E47" s="5">
        <v>328.00936899866701</v>
      </c>
      <c r="F47" s="5">
        <v>142.01333337140699</v>
      </c>
      <c r="G47" s="5">
        <f t="shared" si="0"/>
        <v>0.92281242563105004</v>
      </c>
      <c r="H47" s="5">
        <f t="shared" si="1"/>
        <v>135045.052016217</v>
      </c>
    </row>
    <row r="48" spans="1:8" x14ac:dyDescent="0.25">
      <c r="A48" s="4" t="s">
        <v>55</v>
      </c>
      <c r="B48" s="4" t="s">
        <v>45</v>
      </c>
      <c r="C48" s="4">
        <v>60</v>
      </c>
      <c r="D48" s="5">
        <v>244.28798379854399</v>
      </c>
      <c r="E48" s="5">
        <v>401.097427645631</v>
      </c>
      <c r="F48" s="5">
        <v>158.86685881067999</v>
      </c>
      <c r="G48" s="5">
        <f t="shared" si="0"/>
        <v>0.609048991494336</v>
      </c>
      <c r="H48" s="5">
        <f t="shared" si="1"/>
        <v>121922.900656817</v>
      </c>
    </row>
    <row r="49" spans="1:8" x14ac:dyDescent="0.25">
      <c r="A49" s="4" t="s">
        <v>56</v>
      </c>
      <c r="B49" s="4" t="s">
        <v>45</v>
      </c>
      <c r="C49" s="4">
        <v>60</v>
      </c>
      <c r="D49" s="5">
        <v>290.12206050224</v>
      </c>
      <c r="E49" s="5">
        <v>344.619108243092</v>
      </c>
      <c r="F49" s="5">
        <v>143.88069269977601</v>
      </c>
      <c r="G49" s="5">
        <f t="shared" si="0"/>
        <v>0.84186295409246403</v>
      </c>
      <c r="H49" s="5">
        <f t="shared" si="1"/>
        <v>131139.38600212499</v>
      </c>
    </row>
    <row r="50" spans="1:8" x14ac:dyDescent="0.25">
      <c r="A50" s="4" t="s">
        <v>57</v>
      </c>
      <c r="B50" s="4" t="s">
        <v>45</v>
      </c>
      <c r="C50" s="4">
        <v>90</v>
      </c>
      <c r="D50" s="5">
        <v>301.83048729773498</v>
      </c>
      <c r="E50" s="5">
        <v>321.117444587379</v>
      </c>
      <c r="F50" s="5">
        <v>157.01538184466</v>
      </c>
      <c r="G50" s="5">
        <f t="shared" si="0"/>
        <v>0.93993799584937898</v>
      </c>
      <c r="H50" s="5">
        <f t="shared" si="1"/>
        <v>148886.45082185601</v>
      </c>
    </row>
    <row r="51" spans="1:8" x14ac:dyDescent="0.25">
      <c r="A51" s="4" t="s">
        <v>58</v>
      </c>
      <c r="B51" s="4" t="s">
        <v>45</v>
      </c>
      <c r="C51" s="4">
        <v>90</v>
      </c>
      <c r="D51" s="5">
        <v>367.58496222838698</v>
      </c>
      <c r="E51" s="5">
        <v>318.99266530282</v>
      </c>
      <c r="F51" s="5">
        <v>152.87920429187901</v>
      </c>
      <c r="G51" s="5">
        <f t="shared" si="0"/>
        <v>1.1523304521106701</v>
      </c>
      <c r="H51" s="5">
        <f t="shared" si="1"/>
        <v>176545.244035207</v>
      </c>
    </row>
    <row r="52" spans="1:8" x14ac:dyDescent="0.25">
      <c r="A52" s="4" t="s">
        <v>59</v>
      </c>
      <c r="B52" s="4" t="s">
        <v>45</v>
      </c>
      <c r="C52" s="4">
        <v>90</v>
      </c>
      <c r="D52" s="5">
        <v>287.31085374072001</v>
      </c>
      <c r="E52" s="5">
        <v>320.283679392728</v>
      </c>
      <c r="F52" s="5">
        <v>160.13932372929801</v>
      </c>
      <c r="G52" s="5">
        <f t="shared" si="0"/>
        <v>0.89705118376769599</v>
      </c>
      <c r="H52" s="5">
        <f t="shared" si="1"/>
        <v>144543.94228761201</v>
      </c>
    </row>
    <row r="53" spans="1:8" x14ac:dyDescent="0.25">
      <c r="A53" s="4" t="s">
        <v>60</v>
      </c>
      <c r="B53" s="4" t="s">
        <v>45</v>
      </c>
      <c r="C53" s="4">
        <v>90</v>
      </c>
      <c r="D53" s="5">
        <v>305.75781253085398</v>
      </c>
      <c r="E53" s="5">
        <v>346.43488073885101</v>
      </c>
      <c r="F53" s="5">
        <v>146.99711564094099</v>
      </c>
      <c r="G53" s="5">
        <f t="shared" si="0"/>
        <v>0.882583797216828</v>
      </c>
      <c r="H53" s="5">
        <f t="shared" si="1"/>
        <v>141200.50453213899</v>
      </c>
    </row>
    <row r="54" spans="1:8" x14ac:dyDescent="0.25">
      <c r="A54" s="4" t="s">
        <v>61</v>
      </c>
      <c r="B54" s="4" t="s">
        <v>45</v>
      </c>
      <c r="C54" s="4">
        <v>90</v>
      </c>
      <c r="D54" s="5">
        <v>257.74516833872701</v>
      </c>
      <c r="E54" s="5">
        <v>379.58017400215698</v>
      </c>
      <c r="F54" s="5">
        <v>163.16822487864101</v>
      </c>
      <c r="G54" s="5">
        <f t="shared" si="0"/>
        <v>0.67902695133192703</v>
      </c>
      <c r="H54" s="5">
        <f t="shared" si="1"/>
        <v>132122.26014429799</v>
      </c>
    </row>
    <row r="55" spans="1:8" x14ac:dyDescent="0.25">
      <c r="A55" s="4" t="s">
        <v>62</v>
      </c>
      <c r="B55" s="4" t="s">
        <v>45</v>
      </c>
      <c r="C55" s="4">
        <v>90</v>
      </c>
      <c r="D55" s="5">
        <v>272.64656315195299</v>
      </c>
      <c r="E55" s="5">
        <v>337.84427158500802</v>
      </c>
      <c r="F55" s="5">
        <v>167.325824587943</v>
      </c>
      <c r="G55" s="5">
        <f t="shared" si="0"/>
        <v>0.80701845815772499</v>
      </c>
      <c r="H55" s="5">
        <f t="shared" si="1"/>
        <v>143322.004689883</v>
      </c>
    </row>
    <row r="56" spans="1:8" x14ac:dyDescent="0.25">
      <c r="A56" s="4" t="s">
        <v>63</v>
      </c>
      <c r="B56" s="4" t="s">
        <v>45</v>
      </c>
      <c r="C56" s="4">
        <v>150</v>
      </c>
      <c r="D56" s="5">
        <v>396.77734828387798</v>
      </c>
      <c r="E56" s="5">
        <v>408.28185479283502</v>
      </c>
      <c r="F56" s="5">
        <v>144.920868357719</v>
      </c>
      <c r="G56" s="5">
        <f t="shared" si="0"/>
        <v>0.971822145966309</v>
      </c>
      <c r="H56" s="5">
        <f t="shared" si="1"/>
        <v>180645.71775433901</v>
      </c>
    </row>
    <row r="57" spans="1:8" x14ac:dyDescent="0.25">
      <c r="A57" s="4" t="s">
        <v>64</v>
      </c>
      <c r="B57" s="4" t="s">
        <v>45</v>
      </c>
      <c r="C57" s="4">
        <v>150</v>
      </c>
      <c r="D57" s="5">
        <v>415.95815273462802</v>
      </c>
      <c r="E57" s="5">
        <v>324.54544990830601</v>
      </c>
      <c r="F57" s="5">
        <v>141.4363600863</v>
      </c>
      <c r="G57" s="5">
        <f t="shared" si="0"/>
        <v>1.2816637942456099</v>
      </c>
      <c r="H57" s="5">
        <f t="shared" si="1"/>
        <v>184824.944573157</v>
      </c>
    </row>
    <row r="58" spans="1:8" x14ac:dyDescent="0.25">
      <c r="A58" s="4" t="s">
        <v>65</v>
      </c>
      <c r="B58" s="4" t="s">
        <v>45</v>
      </c>
      <c r="C58" s="4">
        <v>150</v>
      </c>
      <c r="D58" s="5">
        <v>324.05914780055099</v>
      </c>
      <c r="E58" s="5">
        <v>266.83723534100398</v>
      </c>
      <c r="F58" s="5">
        <v>149.766795780894</v>
      </c>
      <c r="G58" s="5">
        <f t="shared" si="0"/>
        <v>1.21444500572201</v>
      </c>
      <c r="H58" s="5">
        <f t="shared" si="1"/>
        <v>152471.859392871</v>
      </c>
    </row>
    <row r="59" spans="1:8" x14ac:dyDescent="0.25">
      <c r="A59" s="4" t="s">
        <v>66</v>
      </c>
      <c r="B59" s="4" t="s">
        <v>45</v>
      </c>
      <c r="C59" s="4">
        <v>150</v>
      </c>
      <c r="D59" s="5">
        <v>394.43977009027401</v>
      </c>
      <c r="E59" s="5">
        <v>342.913017952649</v>
      </c>
      <c r="F59" s="5">
        <v>152.737000698348</v>
      </c>
      <c r="G59" s="5">
        <f t="shared" si="0"/>
        <v>1.15026187237004</v>
      </c>
      <c r="H59" s="5">
        <f t="shared" si="1"/>
        <v>189266.969248165</v>
      </c>
    </row>
    <row r="60" spans="1:8" x14ac:dyDescent="0.25">
      <c r="A60" s="4" t="s">
        <v>67</v>
      </c>
      <c r="B60" s="4" t="s">
        <v>45</v>
      </c>
      <c r="C60" s="4">
        <v>150</v>
      </c>
      <c r="D60" s="5">
        <v>370.72128939868497</v>
      </c>
      <c r="E60" s="5">
        <v>331.59150343720597</v>
      </c>
      <c r="F60" s="5">
        <v>139.48020755559</v>
      </c>
      <c r="G60" s="5">
        <f t="shared" si="0"/>
        <v>1.1180059970049501</v>
      </c>
      <c r="H60" s="5">
        <f t="shared" si="1"/>
        <v>162446.36008807001</v>
      </c>
    </row>
    <row r="61" spans="1:8" x14ac:dyDescent="0.25">
      <c r="A61" s="4" t="s">
        <v>68</v>
      </c>
      <c r="B61" s="4" t="s">
        <v>45</v>
      </c>
      <c r="C61" s="4">
        <v>150</v>
      </c>
      <c r="D61" s="5">
        <v>283.28876592423399</v>
      </c>
      <c r="E61" s="5">
        <v>344.51542944032002</v>
      </c>
      <c r="F61" s="5">
        <v>150.69740622501399</v>
      </c>
      <c r="G61" s="5">
        <f t="shared" si="0"/>
        <v>0.82228179557719305</v>
      </c>
      <c r="H61" s="5">
        <f t="shared" si="1"/>
        <v>134117.36201249401</v>
      </c>
    </row>
    <row r="62" spans="1:8" x14ac:dyDescent="0.25">
      <c r="A62" s="4" t="s">
        <v>69</v>
      </c>
      <c r="B62" s="4" t="s">
        <v>45</v>
      </c>
      <c r="C62" s="4">
        <v>210</v>
      </c>
      <c r="D62" s="5">
        <v>306.51536958737898</v>
      </c>
      <c r="E62" s="5">
        <v>450.05980833737902</v>
      </c>
      <c r="F62" s="5">
        <v>154.544129235437</v>
      </c>
      <c r="G62" s="5">
        <f t="shared" si="0"/>
        <v>0.681054748522679</v>
      </c>
      <c r="H62" s="5">
        <f t="shared" si="1"/>
        <v>148817.71803596499</v>
      </c>
    </row>
    <row r="63" spans="1:8" x14ac:dyDescent="0.25">
      <c r="A63" s="4" t="s">
        <v>70</v>
      </c>
      <c r="B63" s="4" t="s">
        <v>45</v>
      </c>
      <c r="C63" s="4">
        <v>210</v>
      </c>
      <c r="D63" s="5">
        <v>384.31754845756302</v>
      </c>
      <c r="E63" s="5">
        <v>368.98929310209797</v>
      </c>
      <c r="F63" s="5">
        <v>153.971564727529</v>
      </c>
      <c r="G63" s="5">
        <f t="shared" si="0"/>
        <v>1.0415411927717499</v>
      </c>
      <c r="H63" s="5">
        <f t="shared" si="1"/>
        <v>185900.52290770601</v>
      </c>
    </row>
    <row r="64" spans="1:8" x14ac:dyDescent="0.25">
      <c r="A64" s="4" t="s">
        <v>71</v>
      </c>
      <c r="B64" s="4" t="s">
        <v>45</v>
      </c>
      <c r="C64" s="4">
        <v>210</v>
      </c>
      <c r="D64" s="5">
        <v>408.90178111905999</v>
      </c>
      <c r="E64" s="5">
        <v>300.028415521206</v>
      </c>
      <c r="F64" s="5">
        <v>200.64106037302</v>
      </c>
      <c r="G64" s="5">
        <f t="shared" si="0"/>
        <v>1.3628768475436599</v>
      </c>
      <c r="H64" s="5">
        <f t="shared" si="1"/>
        <v>257744.074291094</v>
      </c>
    </row>
    <row r="65" spans="1:8" x14ac:dyDescent="0.25">
      <c r="A65" s="4" t="s">
        <v>72</v>
      </c>
      <c r="B65" s="4" t="s">
        <v>45</v>
      </c>
      <c r="C65" s="4">
        <v>210</v>
      </c>
      <c r="D65" s="5">
        <v>305.13690502839398</v>
      </c>
      <c r="E65" s="5">
        <v>356.26953084814102</v>
      </c>
      <c r="F65" s="5">
        <v>181.85940065946099</v>
      </c>
      <c r="G65" s="5">
        <f t="shared" si="0"/>
        <v>0.856477690646124</v>
      </c>
      <c r="H65" s="5">
        <f t="shared" si="1"/>
        <v>174333.305612461</v>
      </c>
    </row>
    <row r="66" spans="1:8" x14ac:dyDescent="0.25">
      <c r="A66" s="4" t="s">
        <v>73</v>
      </c>
      <c r="B66" s="4" t="s">
        <v>45</v>
      </c>
      <c r="C66" s="4">
        <v>210</v>
      </c>
      <c r="D66" s="5">
        <v>431.10710303883502</v>
      </c>
      <c r="E66" s="5">
        <v>376.94043362135898</v>
      </c>
      <c r="F66" s="5">
        <v>194.201179</v>
      </c>
      <c r="G66" s="5">
        <f t="shared" ref="G66:G73" si="2">D66/E66</f>
        <v>1.14370087309839</v>
      </c>
      <c r="H66" s="5">
        <f t="shared" ref="H66:H73" si="3">D66*F66*PI()</f>
        <v>263018.873491965</v>
      </c>
    </row>
    <row r="67" spans="1:8" x14ac:dyDescent="0.25">
      <c r="A67" s="4" t="s">
        <v>74</v>
      </c>
      <c r="B67" s="4" t="s">
        <v>45</v>
      </c>
      <c r="C67" s="4">
        <v>210</v>
      </c>
      <c r="D67" s="5">
        <v>368.30807207838899</v>
      </c>
      <c r="E67" s="5">
        <v>442.22243175116898</v>
      </c>
      <c r="F67" s="5">
        <v>143.102984016541</v>
      </c>
      <c r="G67" s="5">
        <f t="shared" si="2"/>
        <v>0.83285705480817795</v>
      </c>
      <c r="H67" s="5">
        <f t="shared" si="3"/>
        <v>165580.73261150499</v>
      </c>
    </row>
    <row r="68" spans="1:8" x14ac:dyDescent="0.25">
      <c r="A68" s="4" t="s">
        <v>75</v>
      </c>
      <c r="B68" s="4" t="s">
        <v>45</v>
      </c>
      <c r="C68" s="4">
        <v>300</v>
      </c>
      <c r="D68" s="5">
        <v>336.50917649676398</v>
      </c>
      <c r="E68" s="5">
        <v>302.87974272856002</v>
      </c>
      <c r="F68" s="5">
        <v>227.88911410801001</v>
      </c>
      <c r="G68" s="5">
        <f t="shared" si="2"/>
        <v>1.1110322977206899</v>
      </c>
      <c r="H68" s="5">
        <f t="shared" si="3"/>
        <v>240918.61877260401</v>
      </c>
    </row>
    <row r="69" spans="1:8" x14ac:dyDescent="0.25">
      <c r="A69" s="4" t="s">
        <v>76</v>
      </c>
      <c r="B69" s="4" t="s">
        <v>45</v>
      </c>
      <c r="C69" s="4">
        <v>300</v>
      </c>
      <c r="D69" s="5">
        <v>285.48019733421103</v>
      </c>
      <c r="E69" s="5">
        <v>315.09777783445799</v>
      </c>
      <c r="F69" s="5">
        <v>139.46762622182001</v>
      </c>
      <c r="G69" s="5">
        <f t="shared" si="2"/>
        <v>0.906005111480643</v>
      </c>
      <c r="H69" s="5">
        <f t="shared" si="3"/>
        <v>125083.282623996</v>
      </c>
    </row>
    <row r="70" spans="1:8" x14ac:dyDescent="0.25">
      <c r="A70" s="4" t="s">
        <v>77</v>
      </c>
      <c r="B70" s="4" t="s">
        <v>45</v>
      </c>
      <c r="C70" s="4">
        <v>300</v>
      </c>
      <c r="D70" s="5">
        <v>350.88018766419202</v>
      </c>
      <c r="E70" s="5">
        <v>357.25900963735</v>
      </c>
      <c r="F70" s="5">
        <v>170.89064765848099</v>
      </c>
      <c r="G70" s="5">
        <f t="shared" si="2"/>
        <v>0.98214510536869903</v>
      </c>
      <c r="H70" s="5">
        <f t="shared" si="3"/>
        <v>188376.626435791</v>
      </c>
    </row>
    <row r="71" spans="1:8" x14ac:dyDescent="0.25">
      <c r="A71" s="4" t="s">
        <v>78</v>
      </c>
      <c r="B71" s="4" t="s">
        <v>45</v>
      </c>
      <c r="C71" s="4">
        <v>300</v>
      </c>
      <c r="D71" s="5">
        <v>335.97295728155302</v>
      </c>
      <c r="E71" s="5">
        <v>340.38318016290901</v>
      </c>
      <c r="F71" s="5">
        <v>138.24855109429001</v>
      </c>
      <c r="G71" s="5">
        <f t="shared" si="2"/>
        <v>0.98704335837262802</v>
      </c>
      <c r="H71" s="5">
        <f t="shared" si="3"/>
        <v>145919.987305138</v>
      </c>
    </row>
    <row r="72" spans="1:8" x14ac:dyDescent="0.25">
      <c r="A72" s="4" t="s">
        <v>79</v>
      </c>
      <c r="B72" s="4" t="s">
        <v>45</v>
      </c>
      <c r="C72" s="4">
        <v>300</v>
      </c>
      <c r="D72" s="5">
        <v>355.30833104854401</v>
      </c>
      <c r="E72" s="5">
        <v>384.54778759223302</v>
      </c>
      <c r="F72" s="5">
        <v>186.601893757282</v>
      </c>
      <c r="G72" s="5">
        <f t="shared" si="2"/>
        <v>0.92396404949625199</v>
      </c>
      <c r="H72" s="5">
        <f t="shared" si="3"/>
        <v>208291.386222028</v>
      </c>
    </row>
    <row r="73" spans="1:8" x14ac:dyDescent="0.25">
      <c r="A73" s="4" t="s">
        <v>80</v>
      </c>
      <c r="B73" s="4" t="s">
        <v>45</v>
      </c>
      <c r="C73" s="4">
        <v>300</v>
      </c>
      <c r="D73" s="5">
        <v>328.56052038835003</v>
      </c>
      <c r="E73" s="5">
        <v>325.14945794275201</v>
      </c>
      <c r="F73" s="5">
        <v>140.74701272179399</v>
      </c>
      <c r="G73" s="5">
        <f t="shared" si="2"/>
        <v>1.01049075236717</v>
      </c>
      <c r="H73" s="5">
        <f t="shared" si="3"/>
        <v>145279.53340499601</v>
      </c>
    </row>
    <row r="75" spans="1:8" x14ac:dyDescent="0.25">
      <c r="E75" s="6"/>
      <c r="F75" s="6"/>
      <c r="G75" s="6"/>
      <c r="H75" s="6"/>
    </row>
    <row r="76" spans="1:8" x14ac:dyDescent="0.25">
      <c r="E76" s="6"/>
      <c r="F76" s="6"/>
      <c r="G76" s="6"/>
      <c r="H76" s="6"/>
    </row>
    <row r="77" spans="1:8" x14ac:dyDescent="0.25">
      <c r="E77" s="6"/>
      <c r="F77" s="6"/>
      <c r="G77" s="6"/>
      <c r="H77" s="6"/>
    </row>
    <row r="78" spans="1:8" x14ac:dyDescent="0.25">
      <c r="G78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organ index</vt:lpstr>
      <vt:lpstr>Duodenum morphology  </vt:lpstr>
      <vt:lpstr>Jejunum morphology  </vt:lpstr>
      <vt:lpstr>Ileum morphology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王 茜茜</cp:lastModifiedBy>
  <dcterms:created xsi:type="dcterms:W3CDTF">2025-12-06T08:37:00Z</dcterms:created>
  <dcterms:modified xsi:type="dcterms:W3CDTF">2025-12-06T10:48:00Z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CD4E1B88F39541558AC06DB5FD2F4D9E_11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