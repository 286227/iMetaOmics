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50" windowHeight="7000" firstSheet="1" activeTab="3"/>
  </bookViews>
  <sheets>
    <sheet name="organ index" sheetId="1" r:id="rId1"/>
    <sheet name="Duodenum morphology  " sheetId="2" r:id="rId2"/>
    <sheet name="Jejunum morphology" sheetId="3" r:id="rId3"/>
    <sheet name="Ileum morphology  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<sst xmlns="http://schemas.openxmlformats.org/spreadsheetml/2006/main" count="601" uniqueCount="86">
  <si>
    <t>Sample</t>
  </si>
  <si>
    <t>Breed</t>
  </si>
  <si>
    <t>Age</t>
  </si>
  <si>
    <t>Small intestine length,cm</t>
  </si>
  <si>
    <t>Small intestine weight,kg</t>
  </si>
  <si>
    <t>Small intestine relative length index</t>
  </si>
  <si>
    <t>Small intestine relative weight index</t>
  </si>
  <si>
    <t>A1</t>
  </si>
  <si>
    <t>Shaziling</t>
  </si>
  <si>
    <t>A2</t>
  </si>
  <si>
    <t>A3</t>
  </si>
  <si>
    <t>A4</t>
  </si>
  <si>
    <t>A5</t>
  </si>
  <si>
    <t>A6</t>
  </si>
  <si>
    <t>B1</t>
  </si>
  <si>
    <t>B2</t>
  </si>
  <si>
    <t>B3</t>
  </si>
  <si>
    <t>B4</t>
  </si>
  <si>
    <t>B5</t>
  </si>
  <si>
    <t>B6</t>
  </si>
  <si>
    <t>J1</t>
  </si>
  <si>
    <t>J2</t>
  </si>
  <si>
    <t>J3</t>
  </si>
  <si>
    <t>J4</t>
  </si>
  <si>
    <t>J5</t>
  </si>
  <si>
    <t>J6</t>
  </si>
  <si>
    <t>K1</t>
  </si>
  <si>
    <t>K2</t>
  </si>
  <si>
    <t>K3</t>
  </si>
  <si>
    <t>K4</t>
  </si>
  <si>
    <t>K5</t>
  </si>
  <si>
    <t>K6</t>
  </si>
  <si>
    <t>C1</t>
  </si>
  <si>
    <t>C2</t>
  </si>
  <si>
    <t>C3</t>
  </si>
  <si>
    <t>C4</t>
  </si>
  <si>
    <t>C5</t>
  </si>
  <si>
    <t>C6</t>
  </si>
  <si>
    <t>D1</t>
  </si>
  <si>
    <t>D2</t>
  </si>
  <si>
    <t>D3</t>
  </si>
  <si>
    <t>D4</t>
  </si>
  <si>
    <t>D5</t>
  </si>
  <si>
    <t>D6</t>
  </si>
  <si>
    <t>I1</t>
  </si>
  <si>
    <t>Yorkshire</t>
  </si>
  <si>
    <t>I2</t>
  </si>
  <si>
    <t>I3</t>
  </si>
  <si>
    <t>I4</t>
  </si>
  <si>
    <t>I5</t>
  </si>
  <si>
    <t>I6</t>
  </si>
  <si>
    <t>H1</t>
  </si>
  <si>
    <t>H2</t>
  </si>
  <si>
    <t>H3</t>
  </si>
  <si>
    <t>H4</t>
  </si>
  <si>
    <t>H5</t>
  </si>
  <si>
    <t>H6</t>
  </si>
  <si>
    <t>G1</t>
  </si>
  <si>
    <t>G2</t>
  </si>
  <si>
    <t>G3</t>
  </si>
  <si>
    <t>G4</t>
  </si>
  <si>
    <t>G5</t>
  </si>
  <si>
    <t>G6</t>
  </si>
  <si>
    <t>F1</t>
  </si>
  <si>
    <t>F2</t>
  </si>
  <si>
    <t>F3</t>
  </si>
  <si>
    <t>F4</t>
  </si>
  <si>
    <t>F5</t>
  </si>
  <si>
    <t>F6</t>
  </si>
  <si>
    <t>L1</t>
  </si>
  <si>
    <t>L2</t>
  </si>
  <si>
    <t>L3</t>
  </si>
  <si>
    <t>L4</t>
  </si>
  <si>
    <t>L5</t>
  </si>
  <si>
    <t>L6</t>
  </si>
  <si>
    <t>E1</t>
  </si>
  <si>
    <t>E2</t>
  </si>
  <si>
    <t>E3</t>
  </si>
  <si>
    <t>E4</t>
  </si>
  <si>
    <t>E5</t>
  </si>
  <si>
    <t>E6</t>
  </si>
  <si>
    <t>Villus height,µm</t>
  </si>
  <si>
    <t>Crypt depth,µm</t>
  </si>
  <si>
    <t>Villus width,µm</t>
  </si>
  <si>
    <t>VH:CD</t>
  </si>
  <si>
    <r>
      <rPr>
        <sz val="11"/>
        <color theme="1"/>
        <rFont val="Times New Roman"/>
        <charset val="134"/>
      </rPr>
      <t>Vills surface area,µm</t>
    </r>
    <r>
      <rPr>
        <vertAlign val="superscript"/>
        <sz val="11"/>
        <color theme="1"/>
        <rFont val="Times New Roman"/>
        <charset val="134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</si>
</sst>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_ "/>
    <numFmt numFmtId="178" formatCode="0.00_);[Red]\(0.00\)"/>
    <numFmt numFmtId="179" formatCode="0.0000_ "/>
    <numFmt numFmtId="180" formatCode="0_);[Red]\(0\)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vertAlign val="superscript"/>
      <sz val="11"/>
      <color theme="1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6" applyNumberFormat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176" fontId="1" fillId="0" borderId="2" xfId="0" applyNumberFormat="1" applyFont="1" applyFill="1" applyBorder="1" applyAlignment="1">
      <alignment horizontal="center" vertical="center"/>
    </xf>
    <xf numFmtId="0" fontId="1" fillId="0" borderId="0" xfId="0" applyFont="1" applyFill="1" applyAlignment="1"/>
    <xf numFmtId="0" fontId="1" fillId="0" borderId="0" xfId="0" applyFont="1" applyFill="1" applyAlignment="1">
      <alignment horizont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179" fontId="1" fillId="0" borderId="1" xfId="0" applyNumberFormat="1" applyFont="1" applyFill="1" applyBorder="1" applyAlignment="1">
      <alignment horizontal="center"/>
    </xf>
    <xf numFmtId="180" fontId="1" fillId="0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DELL\Documents\WeChat%20Files\wxid_e2a87fba12kk22\FileStorage\File\2020-11\J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 refreshError="1">
        <row r="33">
          <cell r="G33">
            <v>72.8866946601942</v>
          </cell>
        </row>
        <row r="34">
          <cell r="G34">
            <v>78.5628310679612</v>
          </cell>
        </row>
        <row r="35">
          <cell r="G35">
            <v>91.0139140776699</v>
          </cell>
        </row>
        <row r="36">
          <cell r="G36">
            <v>93.2241048543689</v>
          </cell>
        </row>
        <row r="37">
          <cell r="G37">
            <v>93.7282970873786</v>
          </cell>
        </row>
        <row r="38">
          <cell r="G38">
            <v>97.7839126213592</v>
          </cell>
        </row>
        <row r="39">
          <cell r="G39">
            <v>105.08783592233</v>
          </cell>
        </row>
        <row r="40">
          <cell r="G40">
            <v>105.642492718447</v>
          </cell>
        </row>
        <row r="41">
          <cell r="G41">
            <v>114.365468446602</v>
          </cell>
        </row>
        <row r="42">
          <cell r="G42">
            <v>116.924811650485</v>
          </cell>
        </row>
        <row r="43">
          <cell r="G43">
            <v>121.324268932039</v>
          </cell>
        </row>
        <row r="44">
          <cell r="G44">
            <v>126.809648058252</v>
          </cell>
        </row>
        <row r="45">
          <cell r="G45">
            <v>130.805199029126</v>
          </cell>
        </row>
        <row r="46">
          <cell r="G46">
            <v>139.007968446602</v>
          </cell>
        </row>
        <row r="47">
          <cell r="G47">
            <v>141.22792961165</v>
          </cell>
        </row>
        <row r="48">
          <cell r="G48">
            <v>141.867213592233</v>
          </cell>
        </row>
        <row r="49">
          <cell r="G49">
            <v>149.325309708738</v>
          </cell>
        </row>
        <row r="50">
          <cell r="G50">
            <v>152.461198058252</v>
          </cell>
        </row>
        <row r="51">
          <cell r="G51">
            <v>158.915162135922</v>
          </cell>
        </row>
        <row r="52">
          <cell r="G52">
            <v>161.667255339806</v>
          </cell>
        </row>
        <row r="53">
          <cell r="G53">
            <v>173.338362135922</v>
          </cell>
        </row>
        <row r="54">
          <cell r="G54">
            <v>173.902982038835</v>
          </cell>
        </row>
        <row r="55">
          <cell r="G55">
            <v>180.697320873786</v>
          </cell>
        </row>
        <row r="56">
          <cell r="G56">
            <v>203.892739320388</v>
          </cell>
        </row>
        <row r="57">
          <cell r="G57">
            <v>210.614724757282</v>
          </cell>
        </row>
        <row r="58">
          <cell r="G58">
            <v>211.650485436893</v>
          </cell>
        </row>
        <row r="59">
          <cell r="G59">
            <v>217.86546407767</v>
          </cell>
        </row>
        <row r="60">
          <cell r="G60">
            <v>232.726369417476</v>
          </cell>
        </row>
        <row r="61">
          <cell r="G61">
            <v>248.118561650485</v>
          </cell>
        </row>
        <row r="62">
          <cell r="G62">
            <v>315.317335436893</v>
          </cell>
        </row>
        <row r="63">
          <cell r="G63">
            <v>347.62161407767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3"/>
  <sheetViews>
    <sheetView workbookViewId="0">
      <selection activeCell="G8" sqref="G8"/>
    </sheetView>
  </sheetViews>
  <sheetFormatPr defaultColWidth="8.72727272727273" defaultRowHeight="14" outlineLevelCol="6"/>
  <cols>
    <col min="1" max="1" width="8.72727272727273" style="2"/>
    <col min="2" max="2" width="10.6363636363636" style="2" customWidth="1"/>
    <col min="3" max="3" width="8.72727272727273" style="2"/>
    <col min="4" max="4" width="21.6363636363636" style="11" customWidth="1"/>
    <col min="5" max="5" width="25.3636363636364" style="11" customWidth="1"/>
    <col min="6" max="6" width="17.7272727272727" style="11" customWidth="1"/>
    <col min="7" max="7" width="17.2727272727273" style="11" customWidth="1"/>
    <col min="8" max="16379" width="8.72727272727273" style="10"/>
    <col min="16380" max="16384" width="8.72727272727273" style="1"/>
  </cols>
  <sheetData>
    <row r="1" s="10" customFormat="1" ht="28" spans="1:7">
      <c r="A1" s="4" t="s">
        <v>0</v>
      </c>
      <c r="B1" s="4" t="s">
        <v>1</v>
      </c>
      <c r="C1" s="4" t="s">
        <v>2</v>
      </c>
      <c r="D1" s="12" t="s">
        <v>3</v>
      </c>
      <c r="E1" s="12" t="s">
        <v>4</v>
      </c>
      <c r="F1" s="13" t="s">
        <v>5</v>
      </c>
      <c r="G1" s="13" t="s">
        <v>6</v>
      </c>
    </row>
    <row r="2" s="10" customFormat="1" spans="1:7">
      <c r="A2" s="4" t="s">
        <v>7</v>
      </c>
      <c r="B2" s="4" t="s">
        <v>8</v>
      </c>
      <c r="C2" s="4">
        <v>30</v>
      </c>
      <c r="D2" s="4">
        <v>1036</v>
      </c>
      <c r="E2" s="5">
        <v>0.219027484143763</v>
      </c>
      <c r="F2" s="14">
        <v>1.72666666666667</v>
      </c>
      <c r="G2" s="14">
        <v>0.0365045806906272</v>
      </c>
    </row>
    <row r="3" s="10" customFormat="1" spans="1:7">
      <c r="A3" s="4" t="s">
        <v>9</v>
      </c>
      <c r="B3" s="4" t="s">
        <v>8</v>
      </c>
      <c r="C3" s="4">
        <v>30</v>
      </c>
      <c r="D3" s="4">
        <v>580</v>
      </c>
      <c r="E3" s="5">
        <v>0.169166666666667</v>
      </c>
      <c r="F3" s="14">
        <v>0.966666666666667</v>
      </c>
      <c r="G3" s="14">
        <v>0.0281944444444444</v>
      </c>
    </row>
    <row r="4" s="10" customFormat="1" spans="1:7">
      <c r="A4" s="4" t="s">
        <v>10</v>
      </c>
      <c r="B4" s="4" t="s">
        <v>8</v>
      </c>
      <c r="C4" s="4">
        <v>30</v>
      </c>
      <c r="D4" s="4">
        <v>630</v>
      </c>
      <c r="E4" s="5">
        <v>0.225849056603774</v>
      </c>
      <c r="F4" s="14">
        <v>0.9</v>
      </c>
      <c r="G4" s="14">
        <v>0.0322641509433962</v>
      </c>
    </row>
    <row r="5" s="10" customFormat="1" spans="1:7">
      <c r="A5" s="4" t="s">
        <v>11</v>
      </c>
      <c r="B5" s="4" t="s">
        <v>8</v>
      </c>
      <c r="C5" s="4">
        <v>30</v>
      </c>
      <c r="D5" s="4">
        <v>652</v>
      </c>
      <c r="E5" s="5">
        <v>0.153550724637681</v>
      </c>
      <c r="F5" s="14">
        <v>1.08666666666667</v>
      </c>
      <c r="G5" s="14">
        <v>0.0255917874396135</v>
      </c>
    </row>
    <row r="6" s="10" customFormat="1" spans="1:7">
      <c r="A6" s="4" t="s">
        <v>12</v>
      </c>
      <c r="B6" s="4" t="s">
        <v>8</v>
      </c>
      <c r="C6" s="4">
        <v>30</v>
      </c>
      <c r="D6" s="4">
        <v>564</v>
      </c>
      <c r="E6" s="5">
        <v>0.121551724137931</v>
      </c>
      <c r="F6" s="14">
        <v>1.128</v>
      </c>
      <c r="G6" s="14">
        <v>0.0243103448275862</v>
      </c>
    </row>
    <row r="7" s="10" customFormat="1" spans="1:7">
      <c r="A7" s="4" t="s">
        <v>13</v>
      </c>
      <c r="B7" s="4" t="s">
        <v>8</v>
      </c>
      <c r="C7" s="4">
        <v>30</v>
      </c>
      <c r="D7" s="4">
        <v>686</v>
      </c>
      <c r="E7" s="5">
        <v>0.19901023890785</v>
      </c>
      <c r="F7" s="14">
        <v>0.98</v>
      </c>
      <c r="G7" s="14">
        <v>0.0284300341296928</v>
      </c>
    </row>
    <row r="8" s="10" customFormat="1" spans="1:7">
      <c r="A8" s="4" t="s">
        <v>14</v>
      </c>
      <c r="B8" s="4" t="s">
        <v>8</v>
      </c>
      <c r="C8" s="4">
        <v>60</v>
      </c>
      <c r="D8" s="4">
        <v>1244</v>
      </c>
      <c r="E8" s="5">
        <v>0.619825174825175</v>
      </c>
      <c r="F8" s="14">
        <v>0.829333333333333</v>
      </c>
      <c r="G8" s="14">
        <v>0.0413216783216783</v>
      </c>
    </row>
    <row r="9" s="10" customFormat="1" spans="1:7">
      <c r="A9" s="4" t="s">
        <v>15</v>
      </c>
      <c r="B9" s="4" t="s">
        <v>8</v>
      </c>
      <c r="C9" s="4">
        <v>60</v>
      </c>
      <c r="D9" s="4">
        <v>962</v>
      </c>
      <c r="E9" s="5">
        <v>0.591484918793504</v>
      </c>
      <c r="F9" s="14">
        <v>0.60125</v>
      </c>
      <c r="G9" s="14">
        <v>0.036967807424594</v>
      </c>
    </row>
    <row r="10" s="10" customFormat="1" spans="1:7">
      <c r="A10" s="4" t="s">
        <v>16</v>
      </c>
      <c r="B10" s="4" t="s">
        <v>8</v>
      </c>
      <c r="C10" s="4">
        <v>60</v>
      </c>
      <c r="D10" s="4">
        <v>1050</v>
      </c>
      <c r="E10" s="5">
        <v>0.707368421052632</v>
      </c>
      <c r="F10" s="14">
        <v>0.617647058823529</v>
      </c>
      <c r="G10" s="14">
        <v>0.041609907120743</v>
      </c>
    </row>
    <row r="11" s="10" customFormat="1" spans="1:7">
      <c r="A11" s="4" t="s">
        <v>17</v>
      </c>
      <c r="B11" s="4" t="s">
        <v>8</v>
      </c>
      <c r="C11" s="4">
        <v>60</v>
      </c>
      <c r="D11" s="4">
        <v>1090</v>
      </c>
      <c r="E11" s="5">
        <v>0.682626262626263</v>
      </c>
      <c r="F11" s="14">
        <v>0.778571428571429</v>
      </c>
      <c r="G11" s="14">
        <v>0.0487590187590188</v>
      </c>
    </row>
    <row r="12" s="10" customFormat="1" spans="1:7">
      <c r="A12" s="4" t="s">
        <v>18</v>
      </c>
      <c r="B12" s="4" t="s">
        <v>8</v>
      </c>
      <c r="C12" s="4">
        <v>60</v>
      </c>
      <c r="D12" s="4">
        <v>1300</v>
      </c>
      <c r="E12" s="5">
        <v>0.65</v>
      </c>
      <c r="F12" s="14">
        <v>0.764705882352941</v>
      </c>
      <c r="G12" s="14">
        <v>0.0382352941176471</v>
      </c>
    </row>
    <row r="13" s="10" customFormat="1" spans="1:7">
      <c r="A13" s="4" t="s">
        <v>19</v>
      </c>
      <c r="B13" s="4" t="s">
        <v>8</v>
      </c>
      <c r="C13" s="4">
        <v>60</v>
      </c>
      <c r="D13" s="15">
        <v>1032</v>
      </c>
      <c r="E13" s="12">
        <v>0.653304721030043</v>
      </c>
      <c r="F13" s="14">
        <v>0.543157894736842</v>
      </c>
      <c r="G13" s="14">
        <v>0.0343844590015812</v>
      </c>
    </row>
    <row r="14" s="10" customFormat="1" spans="1:7">
      <c r="A14" s="4" t="s">
        <v>20</v>
      </c>
      <c r="B14" s="4" t="s">
        <v>8</v>
      </c>
      <c r="C14" s="4">
        <v>90</v>
      </c>
      <c r="D14" s="4">
        <v>920</v>
      </c>
      <c r="E14" s="5">
        <v>0.506</v>
      </c>
      <c r="F14" s="14">
        <v>0.383333333333333</v>
      </c>
      <c r="G14" s="14">
        <v>0.0210833333333333</v>
      </c>
    </row>
    <row r="15" s="10" customFormat="1" spans="1:7">
      <c r="A15" s="4" t="s">
        <v>21</v>
      </c>
      <c r="B15" s="4" t="s">
        <v>8</v>
      </c>
      <c r="C15" s="4">
        <v>90</v>
      </c>
      <c r="D15" s="4">
        <v>710</v>
      </c>
      <c r="E15" s="5">
        <v>0.49241935483871</v>
      </c>
      <c r="F15" s="14">
        <v>0.338095238095238</v>
      </c>
      <c r="G15" s="14">
        <v>0.0234485407066052</v>
      </c>
    </row>
    <row r="16" s="10" customFormat="1" spans="1:7">
      <c r="A16" s="4" t="s">
        <v>22</v>
      </c>
      <c r="B16" s="4" t="s">
        <v>8</v>
      </c>
      <c r="C16" s="4">
        <v>90</v>
      </c>
      <c r="D16" s="4">
        <v>790</v>
      </c>
      <c r="E16" s="5">
        <v>0.632</v>
      </c>
      <c r="F16" s="14">
        <v>0.359090909090909</v>
      </c>
      <c r="G16" s="14">
        <v>0.0287272727272727</v>
      </c>
    </row>
    <row r="17" s="10" customFormat="1" spans="1:7">
      <c r="A17" s="4" t="s">
        <v>23</v>
      </c>
      <c r="B17" s="4" t="s">
        <v>8</v>
      </c>
      <c r="C17" s="4">
        <v>90</v>
      </c>
      <c r="D17" s="4">
        <v>970</v>
      </c>
      <c r="E17" s="5">
        <v>0.826704545454545</v>
      </c>
      <c r="F17" s="14">
        <v>0.373076923076923</v>
      </c>
      <c r="G17" s="14">
        <v>0.0317963286713287</v>
      </c>
    </row>
    <row r="18" s="10" customFormat="1" spans="1:7">
      <c r="A18" s="4" t="s">
        <v>24</v>
      </c>
      <c r="B18" s="4" t="s">
        <v>8</v>
      </c>
      <c r="C18" s="4">
        <v>90</v>
      </c>
      <c r="D18" s="4">
        <v>960</v>
      </c>
      <c r="E18" s="5">
        <v>0.684137931034483</v>
      </c>
      <c r="F18" s="14">
        <v>0.436363636363636</v>
      </c>
      <c r="G18" s="14">
        <v>0.0310971786833856</v>
      </c>
    </row>
    <row r="19" s="10" customFormat="1" spans="1:7">
      <c r="A19" s="4" t="s">
        <v>25</v>
      </c>
      <c r="B19" s="4" t="s">
        <v>8</v>
      </c>
      <c r="C19" s="4">
        <v>90</v>
      </c>
      <c r="D19" s="4">
        <v>970</v>
      </c>
      <c r="E19" s="5">
        <v>0.672386363636364</v>
      </c>
      <c r="F19" s="14">
        <v>0.359259259259259</v>
      </c>
      <c r="G19" s="14">
        <v>0.0249031986531987</v>
      </c>
    </row>
    <row r="20" s="10" customFormat="1" spans="1:7">
      <c r="A20" s="4" t="s">
        <v>26</v>
      </c>
      <c r="B20" s="4" t="s">
        <v>8</v>
      </c>
      <c r="C20" s="4">
        <v>150</v>
      </c>
      <c r="D20" s="4">
        <v>1190</v>
      </c>
      <c r="E20" s="5">
        <v>1.01690909090909</v>
      </c>
      <c r="F20" s="14">
        <v>0.313157894736842</v>
      </c>
      <c r="G20" s="14">
        <v>0.0267607655502392</v>
      </c>
    </row>
    <row r="21" s="10" customFormat="1" spans="1:7">
      <c r="A21" s="4" t="s">
        <v>27</v>
      </c>
      <c r="B21" s="4" t="s">
        <v>8</v>
      </c>
      <c r="C21" s="4">
        <v>150</v>
      </c>
      <c r="D21" s="4">
        <v>940</v>
      </c>
      <c r="E21" s="5">
        <v>0.818352941176471</v>
      </c>
      <c r="F21" s="14">
        <v>0.29375</v>
      </c>
      <c r="G21" s="14">
        <v>0.0255735294117647</v>
      </c>
    </row>
    <row r="22" s="10" customFormat="1" spans="1:7">
      <c r="A22" s="4" t="s">
        <v>28</v>
      </c>
      <c r="B22" s="4" t="s">
        <v>8</v>
      </c>
      <c r="C22" s="4">
        <v>150</v>
      </c>
      <c r="D22" s="4">
        <v>1220</v>
      </c>
      <c r="E22" s="5">
        <v>0.993274336283186</v>
      </c>
      <c r="F22" s="14">
        <v>0.38125</v>
      </c>
      <c r="G22" s="14">
        <v>0.0310398230088496</v>
      </c>
    </row>
    <row r="23" s="10" customFormat="1" spans="1:7">
      <c r="A23" s="4" t="s">
        <v>29</v>
      </c>
      <c r="B23" s="4" t="s">
        <v>8</v>
      </c>
      <c r="C23" s="4">
        <v>150</v>
      </c>
      <c r="D23" s="4">
        <v>1240</v>
      </c>
      <c r="E23" s="5">
        <v>0.970434782608696</v>
      </c>
      <c r="F23" s="14">
        <v>0.354285714285714</v>
      </c>
      <c r="G23" s="14">
        <v>0.0277267080745342</v>
      </c>
    </row>
    <row r="24" s="10" customFormat="1" spans="1:7">
      <c r="A24" s="4" t="s">
        <v>30</v>
      </c>
      <c r="B24" s="4" t="s">
        <v>8</v>
      </c>
      <c r="C24" s="4">
        <v>150</v>
      </c>
      <c r="D24" s="4">
        <v>1115</v>
      </c>
      <c r="E24" s="5">
        <v>1.0660487804878</v>
      </c>
      <c r="F24" s="14">
        <v>0.318571428571429</v>
      </c>
      <c r="G24" s="14">
        <v>0.0304585365853659</v>
      </c>
    </row>
    <row r="25" s="10" customFormat="1" spans="1:7">
      <c r="A25" s="4" t="s">
        <v>31</v>
      </c>
      <c r="B25" s="4" t="s">
        <v>8</v>
      </c>
      <c r="C25" s="4">
        <v>150</v>
      </c>
      <c r="D25" s="15">
        <v>1150</v>
      </c>
      <c r="E25" s="12">
        <v>1.11745283018868</v>
      </c>
      <c r="F25" s="14">
        <v>0.338235294117647</v>
      </c>
      <c r="G25" s="14">
        <v>0.0328662597114317</v>
      </c>
    </row>
    <row r="26" s="10" customFormat="1" spans="1:7">
      <c r="A26" s="4" t="s">
        <v>32</v>
      </c>
      <c r="B26" s="4" t="s">
        <v>8</v>
      </c>
      <c r="C26" s="4">
        <v>210</v>
      </c>
      <c r="D26" s="4">
        <v>1320</v>
      </c>
      <c r="E26" s="16">
        <v>1.27672131147541</v>
      </c>
      <c r="F26" s="14">
        <v>0.169230769230769</v>
      </c>
      <c r="G26" s="14">
        <v>0.0163682219419924</v>
      </c>
    </row>
    <row r="27" s="10" customFormat="1" spans="1:7">
      <c r="A27" s="4" t="s">
        <v>33</v>
      </c>
      <c r="B27" s="4" t="s">
        <v>8</v>
      </c>
      <c r="C27" s="4">
        <v>210</v>
      </c>
      <c r="D27" s="4">
        <v>1144</v>
      </c>
      <c r="E27" s="5">
        <v>1.01908045977012</v>
      </c>
      <c r="F27" s="14">
        <v>0.131494252873563</v>
      </c>
      <c r="G27" s="14">
        <v>0.0117135685031048</v>
      </c>
    </row>
    <row r="28" s="10" customFormat="1" spans="1:7">
      <c r="A28" s="4" t="s">
        <v>34</v>
      </c>
      <c r="B28" s="4" t="s">
        <v>8</v>
      </c>
      <c r="C28" s="4">
        <v>210</v>
      </c>
      <c r="D28" s="4">
        <v>1280</v>
      </c>
      <c r="E28" s="5">
        <v>1.26915254237288</v>
      </c>
      <c r="F28" s="14">
        <v>0.150588235294118</v>
      </c>
      <c r="G28" s="14">
        <v>0.0149312063808574</v>
      </c>
    </row>
    <row r="29" s="10" customFormat="1" spans="1:7">
      <c r="A29" s="4" t="s">
        <v>35</v>
      </c>
      <c r="B29" s="4" t="s">
        <v>8</v>
      </c>
      <c r="C29" s="4">
        <v>210</v>
      </c>
      <c r="D29" s="4">
        <v>1530</v>
      </c>
      <c r="E29" s="5">
        <v>1.63699300699301</v>
      </c>
      <c r="F29" s="14">
        <v>0.20958904109589</v>
      </c>
      <c r="G29" s="14">
        <v>0.0224245617396302</v>
      </c>
    </row>
    <row r="30" s="10" customFormat="1" spans="1:7">
      <c r="A30" s="4" t="s">
        <v>36</v>
      </c>
      <c r="B30" s="4" t="s">
        <v>8</v>
      </c>
      <c r="C30" s="4">
        <v>210</v>
      </c>
      <c r="D30" s="4">
        <v>1450</v>
      </c>
      <c r="E30" s="5">
        <v>1.60037037037037</v>
      </c>
      <c r="F30" s="14">
        <v>0.179012345679012</v>
      </c>
      <c r="G30" s="14">
        <v>0.0197576588934614</v>
      </c>
    </row>
    <row r="31" s="10" customFormat="1" spans="1:7">
      <c r="A31" s="4" t="s">
        <v>37</v>
      </c>
      <c r="B31" s="4" t="s">
        <v>8</v>
      </c>
      <c r="C31" s="4">
        <v>210</v>
      </c>
      <c r="D31" s="4">
        <v>1170</v>
      </c>
      <c r="E31" s="5">
        <v>1.1481308411215</v>
      </c>
      <c r="F31" s="14">
        <v>0.131460674157303</v>
      </c>
      <c r="G31" s="14">
        <v>0.012900346529455</v>
      </c>
    </row>
    <row r="32" s="10" customFormat="1" spans="1:7">
      <c r="A32" s="4" t="s">
        <v>38</v>
      </c>
      <c r="B32" s="4" t="s">
        <v>8</v>
      </c>
      <c r="C32" s="4">
        <v>300</v>
      </c>
      <c r="D32" s="4">
        <v>1390</v>
      </c>
      <c r="E32" s="5">
        <v>1.2822480620155</v>
      </c>
      <c r="F32" s="14">
        <v>0.156179775280899</v>
      </c>
      <c r="G32" s="14">
        <v>0.0144072815956798</v>
      </c>
    </row>
    <row r="33" s="10" customFormat="1" spans="1:7">
      <c r="A33" s="4" t="s">
        <v>39</v>
      </c>
      <c r="B33" s="4" t="s">
        <v>8</v>
      </c>
      <c r="C33" s="4">
        <v>300</v>
      </c>
      <c r="D33" s="4">
        <v>1340</v>
      </c>
      <c r="E33" s="5">
        <v>2.04241935483871</v>
      </c>
      <c r="F33" s="14">
        <v>0.121818181818182</v>
      </c>
      <c r="G33" s="14">
        <v>0.0185674486803519</v>
      </c>
    </row>
    <row r="34" s="10" customFormat="1" spans="1:7">
      <c r="A34" s="4" t="s">
        <v>40</v>
      </c>
      <c r="B34" s="4" t="s">
        <v>8</v>
      </c>
      <c r="C34" s="4">
        <v>300</v>
      </c>
      <c r="D34" s="4">
        <v>1304</v>
      </c>
      <c r="E34" s="5">
        <v>1.31049833887043</v>
      </c>
      <c r="F34" s="14">
        <v>0.135833333333333</v>
      </c>
      <c r="G34" s="14">
        <v>0.0136510243632337</v>
      </c>
    </row>
    <row r="35" s="10" customFormat="1" spans="1:7">
      <c r="A35" s="4" t="s">
        <v>41</v>
      </c>
      <c r="B35" s="4" t="s">
        <v>8</v>
      </c>
      <c r="C35" s="4">
        <v>300</v>
      </c>
      <c r="D35" s="4">
        <v>1390</v>
      </c>
      <c r="E35" s="5">
        <v>1.12062015503876</v>
      </c>
      <c r="F35" s="14">
        <v>0.136274509803922</v>
      </c>
      <c r="G35" s="14">
        <v>0.0109864721082231</v>
      </c>
    </row>
    <row r="36" s="10" customFormat="1" spans="1:7">
      <c r="A36" s="4" t="s">
        <v>42</v>
      </c>
      <c r="B36" s="4" t="s">
        <v>8</v>
      </c>
      <c r="C36" s="4">
        <v>300</v>
      </c>
      <c r="D36" s="4">
        <v>1210</v>
      </c>
      <c r="E36" s="5">
        <v>0.981081081081081</v>
      </c>
      <c r="F36" s="14">
        <v>0.1375</v>
      </c>
      <c r="G36" s="14">
        <v>0.0111486486486486</v>
      </c>
    </row>
    <row r="37" s="10" customFormat="1" spans="1:7">
      <c r="A37" s="4" t="s">
        <v>43</v>
      </c>
      <c r="B37" s="4" t="s">
        <v>8</v>
      </c>
      <c r="C37" s="4">
        <v>300</v>
      </c>
      <c r="D37" s="4">
        <v>1354</v>
      </c>
      <c r="E37" s="5">
        <v>1.19851674641148</v>
      </c>
      <c r="F37" s="14">
        <v>0.147173913043478</v>
      </c>
      <c r="G37" s="14">
        <v>0.0130273559392553</v>
      </c>
    </row>
    <row r="38" s="10" customFormat="1" spans="1:7">
      <c r="A38" s="4" t="s">
        <v>44</v>
      </c>
      <c r="B38" s="4" t="s">
        <v>45</v>
      </c>
      <c r="C38" s="4">
        <v>30</v>
      </c>
      <c r="D38" s="4">
        <v>954</v>
      </c>
      <c r="E38" s="5">
        <v>0.320373134328358</v>
      </c>
      <c r="F38" s="14">
        <v>1.51428571428571</v>
      </c>
      <c r="G38" s="14">
        <v>0.0508528784648188</v>
      </c>
    </row>
    <row r="39" s="10" customFormat="1" spans="1:7">
      <c r="A39" s="4" t="s">
        <v>46</v>
      </c>
      <c r="B39" s="4" t="s">
        <v>45</v>
      </c>
      <c r="C39" s="4">
        <v>30</v>
      </c>
      <c r="D39" s="4">
        <v>1014</v>
      </c>
      <c r="E39" s="5">
        <v>0.316875</v>
      </c>
      <c r="F39" s="14">
        <v>1.56</v>
      </c>
      <c r="G39" s="14">
        <v>0.04875</v>
      </c>
    </row>
    <row r="40" s="10" customFormat="1" spans="1:7">
      <c r="A40" s="4" t="s">
        <v>47</v>
      </c>
      <c r="B40" s="4" t="s">
        <v>45</v>
      </c>
      <c r="C40" s="4">
        <v>30</v>
      </c>
      <c r="D40" s="4">
        <v>1030</v>
      </c>
      <c r="E40" s="5">
        <v>0.374545454545455</v>
      </c>
      <c r="F40" s="14">
        <v>1.37333333333333</v>
      </c>
      <c r="G40" s="14">
        <v>0.0499393939393939</v>
      </c>
    </row>
    <row r="41" s="10" customFormat="1" spans="1:7">
      <c r="A41" s="4" t="s">
        <v>48</v>
      </c>
      <c r="B41" s="4" t="s">
        <v>45</v>
      </c>
      <c r="C41" s="4">
        <v>30</v>
      </c>
      <c r="D41" s="4">
        <v>930</v>
      </c>
      <c r="E41" s="5">
        <v>0.405384615384615</v>
      </c>
      <c r="F41" s="14">
        <v>1.25675675675676</v>
      </c>
      <c r="G41" s="14">
        <v>0.0547817047817048</v>
      </c>
    </row>
    <row r="42" s="10" customFormat="1" spans="1:7">
      <c r="A42" s="4" t="s">
        <v>49</v>
      </c>
      <c r="B42" s="4" t="s">
        <v>45</v>
      </c>
      <c r="C42" s="4">
        <v>30</v>
      </c>
      <c r="D42" s="4">
        <v>972</v>
      </c>
      <c r="E42" s="5">
        <v>0.319270072992701</v>
      </c>
      <c r="F42" s="14">
        <v>2.16</v>
      </c>
      <c r="G42" s="14">
        <v>0.0709489051094891</v>
      </c>
    </row>
    <row r="43" s="10" customFormat="1" spans="1:7">
      <c r="A43" s="4" t="s">
        <v>50</v>
      </c>
      <c r="B43" s="4" t="s">
        <v>45</v>
      </c>
      <c r="C43" s="4">
        <v>30</v>
      </c>
      <c r="D43" s="4">
        <v>870</v>
      </c>
      <c r="E43" s="5">
        <v>0.302083333333333</v>
      </c>
      <c r="F43" s="14">
        <v>1.30827067669173</v>
      </c>
      <c r="G43" s="14">
        <v>0.0454260651629073</v>
      </c>
    </row>
    <row r="44" s="10" customFormat="1" spans="1:7">
      <c r="A44" s="4" t="s">
        <v>51</v>
      </c>
      <c r="B44" s="4" t="s">
        <v>45</v>
      </c>
      <c r="C44" s="4">
        <v>60</v>
      </c>
      <c r="D44" s="4">
        <v>1170</v>
      </c>
      <c r="E44" s="5">
        <v>0.550588235294118</v>
      </c>
      <c r="F44" s="14">
        <v>0.951219512195122</v>
      </c>
      <c r="G44" s="14">
        <v>0.0447632711621234</v>
      </c>
    </row>
    <row r="45" s="10" customFormat="1" spans="1:7">
      <c r="A45" s="4" t="s">
        <v>52</v>
      </c>
      <c r="B45" s="4" t="s">
        <v>45</v>
      </c>
      <c r="C45" s="4">
        <v>60</v>
      </c>
      <c r="D45" s="4">
        <v>1294</v>
      </c>
      <c r="E45" s="5">
        <v>0.803094405594406</v>
      </c>
      <c r="F45" s="14">
        <v>0.868456375838926</v>
      </c>
      <c r="G45" s="14">
        <v>0.0538989533955977</v>
      </c>
    </row>
    <row r="46" s="10" customFormat="1" spans="1:7">
      <c r="A46" s="4" t="s">
        <v>53</v>
      </c>
      <c r="B46" s="4" t="s">
        <v>45</v>
      </c>
      <c r="C46" s="4">
        <v>60</v>
      </c>
      <c r="D46" s="4">
        <v>1218</v>
      </c>
      <c r="E46" s="5">
        <v>0.729887640449438</v>
      </c>
      <c r="F46" s="14">
        <v>0.929770992366412</v>
      </c>
      <c r="G46" s="14">
        <v>0.0557166137747663</v>
      </c>
    </row>
    <row r="47" s="10" customFormat="1" spans="1:7">
      <c r="A47" s="4" t="s">
        <v>54</v>
      </c>
      <c r="B47" s="4" t="s">
        <v>45</v>
      </c>
      <c r="C47" s="4">
        <v>60</v>
      </c>
      <c r="D47" s="4">
        <v>1390</v>
      </c>
      <c r="E47" s="5">
        <v>0.71741935483871</v>
      </c>
      <c r="F47" s="14">
        <v>0.863354037267081</v>
      </c>
      <c r="G47" s="14">
        <v>0.0445602083750751</v>
      </c>
    </row>
    <row r="48" s="10" customFormat="1" spans="1:7">
      <c r="A48" s="4" t="s">
        <v>55</v>
      </c>
      <c r="B48" s="4" t="s">
        <v>45</v>
      </c>
      <c r="C48" s="4">
        <v>60</v>
      </c>
      <c r="D48" s="4">
        <v>1200</v>
      </c>
      <c r="E48" s="5">
        <v>0.8</v>
      </c>
      <c r="F48" s="14">
        <v>0.729483282674772</v>
      </c>
      <c r="G48" s="14">
        <v>0.0486322188449848</v>
      </c>
    </row>
    <row r="49" s="10" customFormat="1" spans="1:7">
      <c r="A49" s="4" t="s">
        <v>56</v>
      </c>
      <c r="B49" s="4" t="s">
        <v>45</v>
      </c>
      <c r="C49" s="4">
        <v>60</v>
      </c>
      <c r="D49" s="4">
        <v>1246</v>
      </c>
      <c r="E49" s="5">
        <v>0.682116788321168</v>
      </c>
      <c r="F49" s="14">
        <v>0.81437908496732</v>
      </c>
      <c r="G49" s="14">
        <v>0.0445827966222985</v>
      </c>
    </row>
    <row r="50" s="10" customFormat="1" spans="1:7">
      <c r="A50" s="4" t="s">
        <v>57</v>
      </c>
      <c r="B50" s="4" t="s">
        <v>45</v>
      </c>
      <c r="C50" s="4">
        <v>90</v>
      </c>
      <c r="D50" s="4">
        <v>1518</v>
      </c>
      <c r="E50" s="5">
        <v>0.954298245614035</v>
      </c>
      <c r="F50" s="14">
        <v>0.834065934065934</v>
      </c>
      <c r="G50" s="14">
        <v>0.0524339695392327</v>
      </c>
    </row>
    <row r="51" s="10" customFormat="1" spans="1:7">
      <c r="A51" s="4" t="s">
        <v>58</v>
      </c>
      <c r="B51" s="4" t="s">
        <v>45</v>
      </c>
      <c r="C51" s="4">
        <v>90</v>
      </c>
      <c r="D51" s="4">
        <v>1298</v>
      </c>
      <c r="E51" s="5">
        <v>0.994982578397213</v>
      </c>
      <c r="F51" s="14">
        <v>0.477205882352941</v>
      </c>
      <c r="G51" s="14">
        <v>0.0365802418528387</v>
      </c>
    </row>
    <row r="52" s="10" customFormat="1" spans="1:7">
      <c r="A52" s="4" t="s">
        <v>59</v>
      </c>
      <c r="B52" s="4" t="s">
        <v>45</v>
      </c>
      <c r="C52" s="4">
        <v>90</v>
      </c>
      <c r="D52" s="4">
        <v>1550</v>
      </c>
      <c r="E52" s="5">
        <v>1.02964285714286</v>
      </c>
      <c r="F52" s="14">
        <v>0.525423728813559</v>
      </c>
      <c r="G52" s="14">
        <v>0.0349031476997579</v>
      </c>
    </row>
    <row r="53" s="10" customFormat="1" spans="1:7">
      <c r="A53" s="4" t="s">
        <v>60</v>
      </c>
      <c r="B53" s="4" t="s">
        <v>45</v>
      </c>
      <c r="C53" s="4">
        <v>90</v>
      </c>
      <c r="D53" s="4">
        <v>1510</v>
      </c>
      <c r="E53" s="5">
        <v>1.09919117647059</v>
      </c>
      <c r="F53" s="14">
        <v>0.511864406779661</v>
      </c>
      <c r="G53" s="14">
        <v>0.0372607178464606</v>
      </c>
    </row>
    <row r="54" s="10" customFormat="1" spans="1:7">
      <c r="A54" s="4" t="s">
        <v>61</v>
      </c>
      <c r="B54" s="4" t="s">
        <v>45</v>
      </c>
      <c r="C54" s="4">
        <v>90</v>
      </c>
      <c r="D54" s="4">
        <v>1230</v>
      </c>
      <c r="E54" s="5">
        <v>0.785833333333333</v>
      </c>
      <c r="F54" s="14">
        <v>0.656</v>
      </c>
      <c r="G54" s="14">
        <v>0.0419111111111111</v>
      </c>
    </row>
    <row r="55" s="10" customFormat="1" spans="1:7">
      <c r="A55" s="4" t="s">
        <v>62</v>
      </c>
      <c r="B55" s="4" t="s">
        <v>45</v>
      </c>
      <c r="C55" s="4">
        <v>90</v>
      </c>
      <c r="D55" s="4">
        <v>1486</v>
      </c>
      <c r="E55" s="5">
        <v>1.06778443113772</v>
      </c>
      <c r="F55" s="14">
        <v>0.588514851485149</v>
      </c>
      <c r="G55" s="14">
        <v>0.0422884923222861</v>
      </c>
    </row>
    <row r="56" s="10" customFormat="1" spans="1:7">
      <c r="A56" s="4" t="s">
        <v>63</v>
      </c>
      <c r="B56" s="4" t="s">
        <v>45</v>
      </c>
      <c r="C56" s="4">
        <v>150</v>
      </c>
      <c r="D56" s="4">
        <v>1906</v>
      </c>
      <c r="E56" s="5">
        <v>1.94290432801822</v>
      </c>
      <c r="F56" s="14">
        <v>0.262534435261708</v>
      </c>
      <c r="G56" s="14">
        <v>0.0267617676035568</v>
      </c>
    </row>
    <row r="57" s="10" customFormat="1" spans="1:7">
      <c r="A57" s="4" t="s">
        <v>64</v>
      </c>
      <c r="B57" s="4" t="s">
        <v>45</v>
      </c>
      <c r="C57" s="4">
        <v>150</v>
      </c>
      <c r="D57" s="4">
        <v>2310</v>
      </c>
      <c r="E57" s="5">
        <v>2.37416666666667</v>
      </c>
      <c r="F57" s="14">
        <v>0.23583460949464</v>
      </c>
      <c r="G57" s="14">
        <v>0.0242385570869491</v>
      </c>
    </row>
    <row r="58" s="10" customFormat="1" spans="1:7">
      <c r="A58" s="4" t="s">
        <v>65</v>
      </c>
      <c r="B58" s="4" t="s">
        <v>45</v>
      </c>
      <c r="C58" s="4">
        <v>150</v>
      </c>
      <c r="D58" s="4">
        <v>1900</v>
      </c>
      <c r="E58" s="5">
        <v>1.87828571428571</v>
      </c>
      <c r="F58" s="14">
        <v>0.196078431372549</v>
      </c>
      <c r="G58" s="14">
        <v>0.0193837535014006</v>
      </c>
    </row>
    <row r="59" s="10" customFormat="1" spans="1:7">
      <c r="A59" s="4" t="s">
        <v>66</v>
      </c>
      <c r="B59" s="4" t="s">
        <v>45</v>
      </c>
      <c r="C59" s="4">
        <v>150</v>
      </c>
      <c r="D59" s="4">
        <v>2250</v>
      </c>
      <c r="E59" s="5">
        <v>2.04642857142857</v>
      </c>
      <c r="F59" s="14">
        <v>0.260567458019687</v>
      </c>
      <c r="G59" s="14">
        <v>0.0236992307056001</v>
      </c>
    </row>
    <row r="60" s="10" customFormat="1" spans="1:7">
      <c r="A60" s="4" t="s">
        <v>67</v>
      </c>
      <c r="B60" s="4" t="s">
        <v>45</v>
      </c>
      <c r="C60" s="4">
        <v>150</v>
      </c>
      <c r="D60" s="4">
        <v>2330</v>
      </c>
      <c r="E60" s="5">
        <v>2.35137614678899</v>
      </c>
      <c r="F60" s="14">
        <v>0.23582995951417</v>
      </c>
      <c r="G60" s="14">
        <v>0.0237993537124392</v>
      </c>
    </row>
    <row r="61" s="10" customFormat="1" spans="1:7">
      <c r="A61" s="4" t="s">
        <v>68</v>
      </c>
      <c r="B61" s="4" t="s">
        <v>45</v>
      </c>
      <c r="C61" s="4">
        <v>150</v>
      </c>
      <c r="D61" s="4">
        <v>2244</v>
      </c>
      <c r="E61" s="5">
        <v>2.1432664756447</v>
      </c>
      <c r="F61" s="14">
        <v>0.213918017159199</v>
      </c>
      <c r="G61" s="14">
        <v>0.0204315202635338</v>
      </c>
    </row>
    <row r="62" s="10" customFormat="1" spans="1:7">
      <c r="A62" s="4" t="s">
        <v>69</v>
      </c>
      <c r="B62" s="4" t="s">
        <v>45</v>
      </c>
      <c r="C62" s="4">
        <v>210</v>
      </c>
      <c r="D62" s="4">
        <v>1930</v>
      </c>
      <c r="E62" s="5">
        <v>2.1</v>
      </c>
      <c r="F62" s="14">
        <v>0.164675767918089</v>
      </c>
      <c r="G62" s="14">
        <v>0.0179180887372014</v>
      </c>
    </row>
    <row r="63" s="10" customFormat="1" spans="1:7">
      <c r="A63" s="4" t="s">
        <v>70</v>
      </c>
      <c r="B63" s="4" t="s">
        <v>45</v>
      </c>
      <c r="C63" s="4">
        <v>210</v>
      </c>
      <c r="D63" s="4">
        <v>1936</v>
      </c>
      <c r="E63" s="5">
        <v>2.39</v>
      </c>
      <c r="F63" s="14">
        <v>0.134725121781489</v>
      </c>
      <c r="G63" s="14">
        <v>0.0166318719554628</v>
      </c>
    </row>
    <row r="64" s="10" customFormat="1" spans="1:7">
      <c r="A64" s="4" t="s">
        <v>71</v>
      </c>
      <c r="B64" s="4" t="s">
        <v>45</v>
      </c>
      <c r="C64" s="4">
        <v>210</v>
      </c>
      <c r="D64" s="4">
        <v>1754</v>
      </c>
      <c r="E64" s="5">
        <v>2.51</v>
      </c>
      <c r="F64" s="14">
        <v>0.132477341389728</v>
      </c>
      <c r="G64" s="14">
        <v>0.0189577039274924</v>
      </c>
    </row>
    <row r="65" s="10" customFormat="1" spans="1:7">
      <c r="A65" s="4" t="s">
        <v>72</v>
      </c>
      <c r="B65" s="4" t="s">
        <v>45</v>
      </c>
      <c r="C65" s="4">
        <v>210</v>
      </c>
      <c r="D65" s="4">
        <v>2770</v>
      </c>
      <c r="E65" s="5">
        <v>2.22</v>
      </c>
      <c r="F65" s="14">
        <v>0.216575449569977</v>
      </c>
      <c r="G65" s="14">
        <v>0.017357310398749</v>
      </c>
    </row>
    <row r="66" s="10" customFormat="1" spans="1:7">
      <c r="A66" s="4" t="s">
        <v>73</v>
      </c>
      <c r="B66" s="4" t="s">
        <v>45</v>
      </c>
      <c r="C66" s="4">
        <v>210</v>
      </c>
      <c r="D66" s="4">
        <v>1778</v>
      </c>
      <c r="E66" s="5">
        <v>2.45</v>
      </c>
      <c r="F66" s="14">
        <v>0.134493192133132</v>
      </c>
      <c r="G66" s="14">
        <v>0.0185325264750378</v>
      </c>
    </row>
    <row r="67" s="10" customFormat="1" spans="1:7">
      <c r="A67" s="4" t="s">
        <v>74</v>
      </c>
      <c r="B67" s="4" t="s">
        <v>45</v>
      </c>
      <c r="C67" s="4">
        <v>210</v>
      </c>
      <c r="D67" s="4">
        <v>1932</v>
      </c>
      <c r="E67" s="5">
        <v>2.83</v>
      </c>
      <c r="F67" s="14">
        <v>0.164425531914894</v>
      </c>
      <c r="G67" s="14">
        <v>0.0240851063829787</v>
      </c>
    </row>
    <row r="68" s="10" customFormat="1" spans="1:7">
      <c r="A68" s="4" t="s">
        <v>75</v>
      </c>
      <c r="B68" s="4" t="s">
        <v>45</v>
      </c>
      <c r="C68" s="4">
        <v>300</v>
      </c>
      <c r="D68" s="4">
        <v>2040</v>
      </c>
      <c r="E68" s="5">
        <v>2.35301587301587</v>
      </c>
      <c r="F68" s="14">
        <v>0.0841237113402062</v>
      </c>
      <c r="G68" s="14">
        <v>0.00970315823924071</v>
      </c>
    </row>
    <row r="69" s="10" customFormat="1" spans="1:7">
      <c r="A69" s="4" t="s">
        <v>76</v>
      </c>
      <c r="B69" s="4" t="s">
        <v>45</v>
      </c>
      <c r="C69" s="4">
        <v>300</v>
      </c>
      <c r="D69" s="4">
        <v>2040</v>
      </c>
      <c r="E69" s="5">
        <v>2.38539682539683</v>
      </c>
      <c r="F69" s="14">
        <v>0.0995121951219512</v>
      </c>
      <c r="G69" s="14">
        <v>0.0116360820751065</v>
      </c>
    </row>
    <row r="70" s="10" customFormat="1" spans="1:7">
      <c r="A70" s="4" t="s">
        <v>77</v>
      </c>
      <c r="B70" s="4" t="s">
        <v>45</v>
      </c>
      <c r="C70" s="4">
        <v>300</v>
      </c>
      <c r="D70" s="4">
        <v>1854</v>
      </c>
      <c r="E70" s="5">
        <v>2.13253521126761</v>
      </c>
      <c r="F70" s="14">
        <v>0.102430939226519</v>
      </c>
      <c r="G70" s="14">
        <v>0.0117819624931912</v>
      </c>
    </row>
    <row r="71" s="10" customFormat="1" spans="1:7">
      <c r="A71" s="4" t="s">
        <v>78</v>
      </c>
      <c r="B71" s="4" t="s">
        <v>45</v>
      </c>
      <c r="C71" s="4">
        <v>300</v>
      </c>
      <c r="D71" s="4">
        <v>2140</v>
      </c>
      <c r="E71" s="5">
        <v>2.66693467336683</v>
      </c>
      <c r="F71" s="14">
        <v>0.0962230215827338</v>
      </c>
      <c r="G71" s="14">
        <v>0.0119916127399588</v>
      </c>
    </row>
    <row r="72" s="10" customFormat="1" spans="1:7">
      <c r="A72" s="4" t="s">
        <v>79</v>
      </c>
      <c r="B72" s="4" t="s">
        <v>45</v>
      </c>
      <c r="C72" s="4">
        <v>300</v>
      </c>
      <c r="D72" s="4">
        <v>1890</v>
      </c>
      <c r="E72" s="5">
        <v>2.42224137931034</v>
      </c>
      <c r="F72" s="14">
        <v>0.0924657534246575</v>
      </c>
      <c r="G72" s="14">
        <v>0.0118504959848843</v>
      </c>
    </row>
    <row r="73" s="10" customFormat="1" spans="1:7">
      <c r="A73" s="4" t="s">
        <v>80</v>
      </c>
      <c r="B73" s="4" t="s">
        <v>45</v>
      </c>
      <c r="C73" s="4">
        <v>300</v>
      </c>
      <c r="D73" s="4">
        <v>1840</v>
      </c>
      <c r="E73" s="5">
        <v>2.47147928994083</v>
      </c>
      <c r="F73" s="14">
        <v>0.0735705717712915</v>
      </c>
      <c r="G73" s="14">
        <v>0.00988196437401371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5"/>
  <sheetViews>
    <sheetView workbookViewId="0">
      <selection activeCell="A1" sqref="A1:H1"/>
    </sheetView>
  </sheetViews>
  <sheetFormatPr defaultColWidth="8.72727272727273" defaultRowHeight="14" outlineLevelCol="7"/>
  <cols>
    <col min="1" max="1" width="8.72727272727273" style="2"/>
    <col min="2" max="2" width="10.6363636363636" style="2" customWidth="1"/>
    <col min="3" max="3" width="8.72727272727273" style="2"/>
    <col min="4" max="4" width="17.0909090909091" style="2" customWidth="1"/>
    <col min="5" max="5" width="17.3636363636364" style="2" customWidth="1"/>
    <col min="6" max="6" width="16.5454545454545" style="2" customWidth="1"/>
    <col min="7" max="7" width="10.1818181818182" style="2" customWidth="1"/>
    <col min="8" max="8" width="20.9090909090909" style="2" customWidth="1"/>
    <col min="9" max="9" width="0.0909090909090909" style="1" customWidth="1"/>
    <col min="10" max="16384" width="8.72727272727273" style="1"/>
  </cols>
  <sheetData>
    <row r="1" s="1" customFormat="1" ht="16" spans="1:8">
      <c r="A1" s="4" t="s">
        <v>0</v>
      </c>
      <c r="B1" s="4" t="s">
        <v>1</v>
      </c>
      <c r="C1" s="4" t="s">
        <v>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</row>
    <row r="2" s="1" customFormat="1" spans="1:8">
      <c r="A2" s="8" t="s">
        <v>7</v>
      </c>
      <c r="B2" s="8" t="s">
        <v>8</v>
      </c>
      <c r="C2" s="8">
        <v>30</v>
      </c>
      <c r="D2" s="9">
        <v>364.903513675112</v>
      </c>
      <c r="E2" s="9">
        <v>337.120216078617</v>
      </c>
      <c r="F2" s="9">
        <v>156.286527006867</v>
      </c>
      <c r="G2" s="9">
        <f t="shared" ref="G2:G65" si="0">D2/E2</f>
        <v>1.0824136206356</v>
      </c>
      <c r="H2" s="9">
        <f t="shared" ref="H2:H65" si="1">D2*F2*PI()</f>
        <v>179163.467175372</v>
      </c>
    </row>
    <row r="3" s="1" customFormat="1" spans="1:8">
      <c r="A3" s="4" t="s">
        <v>9</v>
      </c>
      <c r="B3" s="4" t="s">
        <v>8</v>
      </c>
      <c r="C3" s="4">
        <v>30</v>
      </c>
      <c r="D3" s="5">
        <v>251.184816102045</v>
      </c>
      <c r="E3" s="5">
        <v>375.21552476761</v>
      </c>
      <c r="F3" s="5">
        <v>156.665223941334</v>
      </c>
      <c r="G3" s="5">
        <f t="shared" si="0"/>
        <v>0.66944142638452</v>
      </c>
      <c r="H3" s="5">
        <f t="shared" si="1"/>
        <v>123627.719946367</v>
      </c>
    </row>
    <row r="4" s="1" customFormat="1" spans="1:8">
      <c r="A4" s="4" t="s">
        <v>10</v>
      </c>
      <c r="B4" s="4" t="s">
        <v>8</v>
      </c>
      <c r="C4" s="4">
        <v>30</v>
      </c>
      <c r="D4" s="5">
        <v>333.56286407767</v>
      </c>
      <c r="E4" s="5">
        <v>369.223088138455</v>
      </c>
      <c r="F4" s="5">
        <v>139.055216146053</v>
      </c>
      <c r="G4" s="5">
        <f t="shared" si="0"/>
        <v>0.903418217315238</v>
      </c>
      <c r="H4" s="5">
        <f t="shared" si="1"/>
        <v>145718.553447112</v>
      </c>
    </row>
    <row r="5" s="1" customFormat="1" spans="1:8">
      <c r="A5" s="4" t="s">
        <v>11</v>
      </c>
      <c r="B5" s="4" t="s">
        <v>8</v>
      </c>
      <c r="C5" s="4">
        <v>30</v>
      </c>
      <c r="D5" s="5">
        <v>304.55481230477</v>
      </c>
      <c r="E5" s="5">
        <v>323.461667138033</v>
      </c>
      <c r="F5" s="5">
        <v>150.291969902913</v>
      </c>
      <c r="G5" s="5">
        <f t="shared" si="0"/>
        <v>0.941548391187897</v>
      </c>
      <c r="H5" s="5">
        <f t="shared" si="1"/>
        <v>143797.427197304</v>
      </c>
    </row>
    <row r="6" s="1" customFormat="1" spans="1:8">
      <c r="A6" s="4" t="s">
        <v>12</v>
      </c>
      <c r="B6" s="4" t="s">
        <v>8</v>
      </c>
      <c r="C6" s="4">
        <v>30</v>
      </c>
      <c r="D6" s="5">
        <v>471.56237943225</v>
      </c>
      <c r="E6" s="5">
        <v>411.180735341916</v>
      </c>
      <c r="F6" s="5">
        <v>165.1366338645</v>
      </c>
      <c r="G6" s="5">
        <f t="shared" si="0"/>
        <v>1.14684939954719</v>
      </c>
      <c r="H6" s="5">
        <f t="shared" si="1"/>
        <v>244642.806826342</v>
      </c>
    </row>
    <row r="7" s="1" customFormat="1" spans="1:8">
      <c r="A7" s="4" t="s">
        <v>13</v>
      </c>
      <c r="B7" s="4" t="s">
        <v>8</v>
      </c>
      <c r="C7" s="4">
        <v>30</v>
      </c>
      <c r="D7" s="5">
        <v>417.579305933118</v>
      </c>
      <c r="E7" s="5">
        <v>509.363433926645</v>
      </c>
      <c r="F7" s="5">
        <v>149.376534600863</v>
      </c>
      <c r="G7" s="5">
        <f t="shared" si="0"/>
        <v>0.819806209319012</v>
      </c>
      <c r="H7" s="5">
        <f t="shared" si="1"/>
        <v>195961.710109459</v>
      </c>
    </row>
    <row r="8" s="1" customFormat="1" spans="1:8">
      <c r="A8" s="4" t="s">
        <v>14</v>
      </c>
      <c r="B8" s="4" t="s">
        <v>8</v>
      </c>
      <c r="C8" s="4">
        <v>60</v>
      </c>
      <c r="D8" s="5">
        <v>400.150071633601</v>
      </c>
      <c r="E8" s="5">
        <v>525.834924345716</v>
      </c>
      <c r="F8" s="5">
        <v>161.820264436471</v>
      </c>
      <c r="G8" s="5">
        <f t="shared" si="0"/>
        <v>0.760980401085946</v>
      </c>
      <c r="H8" s="5">
        <f t="shared" si="1"/>
        <v>203425.634001937</v>
      </c>
    </row>
    <row r="9" s="1" customFormat="1" spans="1:8">
      <c r="A9" s="4" t="s">
        <v>15</v>
      </c>
      <c r="B9" s="4" t="s">
        <v>8</v>
      </c>
      <c r="C9" s="4">
        <v>60</v>
      </c>
      <c r="D9" s="5">
        <v>266.967906090027</v>
      </c>
      <c r="E9" s="5">
        <v>491.270687191086</v>
      </c>
      <c r="F9" s="5">
        <v>147.955722252869</v>
      </c>
      <c r="G9" s="5">
        <f t="shared" si="0"/>
        <v>0.543423234991805</v>
      </c>
      <c r="H9" s="5">
        <f t="shared" si="1"/>
        <v>124091.117110573</v>
      </c>
    </row>
    <row r="10" s="1" customFormat="1" spans="1:8">
      <c r="A10" s="4" t="s">
        <v>16</v>
      </c>
      <c r="B10" s="4" t="s">
        <v>8</v>
      </c>
      <c r="C10" s="4">
        <v>60</v>
      </c>
      <c r="D10" s="5">
        <v>385.084243440042</v>
      </c>
      <c r="E10" s="5">
        <v>597.91316254264</v>
      </c>
      <c r="F10" s="5">
        <v>172.287268210443</v>
      </c>
      <c r="G10" s="5">
        <f t="shared" si="0"/>
        <v>0.644047108450435</v>
      </c>
      <c r="H10" s="5">
        <f t="shared" si="1"/>
        <v>208429.317507477</v>
      </c>
    </row>
    <row r="11" s="1" customFormat="1" spans="1:8">
      <c r="A11" s="4" t="s">
        <v>17</v>
      </c>
      <c r="B11" s="4" t="s">
        <v>8</v>
      </c>
      <c r="C11" s="4">
        <v>60</v>
      </c>
      <c r="D11" s="5">
        <v>337.818456273338</v>
      </c>
      <c r="E11" s="5">
        <v>569.850339693802</v>
      </c>
      <c r="F11" s="5">
        <v>175.165632673637</v>
      </c>
      <c r="G11" s="5">
        <f t="shared" si="0"/>
        <v>0.592819610241626</v>
      </c>
      <c r="H11" s="5">
        <f t="shared" si="1"/>
        <v>185901.180548894</v>
      </c>
    </row>
    <row r="12" s="1" customFormat="1" spans="1:8">
      <c r="A12" s="4" t="s">
        <v>18</v>
      </c>
      <c r="B12" s="4" t="s">
        <v>8</v>
      </c>
      <c r="C12" s="4">
        <v>60</v>
      </c>
      <c r="D12" s="5">
        <v>397.963914714132</v>
      </c>
      <c r="E12" s="5">
        <v>509.435891423948</v>
      </c>
      <c r="F12" s="5">
        <v>181.024764476807</v>
      </c>
      <c r="G12" s="5">
        <f t="shared" si="0"/>
        <v>0.781185466932384</v>
      </c>
      <c r="H12" s="5">
        <f t="shared" si="1"/>
        <v>226324.494017749</v>
      </c>
    </row>
    <row r="13" s="1" customFormat="1" spans="1:8">
      <c r="A13" s="4" t="s">
        <v>19</v>
      </c>
      <c r="B13" s="4" t="s">
        <v>8</v>
      </c>
      <c r="C13" s="4">
        <v>60</v>
      </c>
      <c r="D13" s="5">
        <v>346.409379761016</v>
      </c>
      <c r="E13" s="5">
        <v>426.873720786657</v>
      </c>
      <c r="F13" s="5">
        <v>160.344448381877</v>
      </c>
      <c r="G13" s="5">
        <f t="shared" si="0"/>
        <v>0.811503175043527</v>
      </c>
      <c r="H13" s="5">
        <f t="shared" si="1"/>
        <v>174499.201322377</v>
      </c>
    </row>
    <row r="14" s="1" customFormat="1" spans="1:8">
      <c r="A14" s="4" t="s">
        <v>20</v>
      </c>
      <c r="B14" s="4" t="s">
        <v>8</v>
      </c>
      <c r="C14" s="4">
        <v>90</v>
      </c>
      <c r="D14" s="5">
        <v>488.055235353675</v>
      </c>
      <c r="E14" s="5">
        <v>516.262820943135</v>
      </c>
      <c r="F14" s="5">
        <v>182.3607389043</v>
      </c>
      <c r="G14" s="5">
        <f t="shared" si="0"/>
        <v>0.945361965949961</v>
      </c>
      <c r="H14" s="5">
        <f t="shared" si="1"/>
        <v>279608.385439272</v>
      </c>
    </row>
    <row r="15" s="1" customFormat="1" spans="1:8">
      <c r="A15" s="4" t="s">
        <v>21</v>
      </c>
      <c r="B15" s="4" t="s">
        <v>8</v>
      </c>
      <c r="C15" s="4">
        <v>90</v>
      </c>
      <c r="D15" s="5">
        <v>421.299719104291</v>
      </c>
      <c r="E15" s="5">
        <v>475.631695537112</v>
      </c>
      <c r="F15" s="5">
        <f>AVERAGE([1]Sheet1!G33:G63)</f>
        <v>158.334757265894</v>
      </c>
      <c r="G15" s="5">
        <f t="shared" si="0"/>
        <v>0.885768806110648</v>
      </c>
      <c r="H15" s="5">
        <f t="shared" si="1"/>
        <v>209564.300877703</v>
      </c>
    </row>
    <row r="16" s="1" customFormat="1" spans="1:8">
      <c r="A16" s="4" t="s">
        <v>22</v>
      </c>
      <c r="B16" s="4" t="s">
        <v>8</v>
      </c>
      <c r="C16" s="4">
        <v>90</v>
      </c>
      <c r="D16" s="5">
        <v>399.280612230313</v>
      </c>
      <c r="E16" s="5">
        <v>461.069755933118</v>
      </c>
      <c r="F16" s="5">
        <v>152.371588403452</v>
      </c>
      <c r="G16" s="5">
        <f t="shared" si="0"/>
        <v>0.865987428349631</v>
      </c>
      <c r="H16" s="5">
        <f t="shared" si="1"/>
        <v>191131.421752661</v>
      </c>
    </row>
    <row r="17" s="1" customFormat="1" spans="1:8">
      <c r="A17" s="4" t="s">
        <v>23</v>
      </c>
      <c r="B17" s="4" t="s">
        <v>8</v>
      </c>
      <c r="C17" s="4">
        <v>90</v>
      </c>
      <c r="D17" s="5">
        <v>458.386311279269</v>
      </c>
      <c r="E17" s="5">
        <v>483.752687692747</v>
      </c>
      <c r="F17" s="5">
        <v>161.939522015991</v>
      </c>
      <c r="G17" s="5">
        <f t="shared" si="0"/>
        <v>0.947563337509374</v>
      </c>
      <c r="H17" s="5">
        <f t="shared" si="1"/>
        <v>233203.124908215</v>
      </c>
    </row>
    <row r="18" s="1" customFormat="1" spans="1:8">
      <c r="A18" s="4" t="s">
        <v>24</v>
      </c>
      <c r="B18" s="4" t="s">
        <v>8</v>
      </c>
      <c r="C18" s="4">
        <v>90</v>
      </c>
      <c r="D18" s="5">
        <v>368.15126351755</v>
      </c>
      <c r="E18" s="5">
        <v>522.31337596465</v>
      </c>
      <c r="F18" s="5">
        <v>147.03479223301</v>
      </c>
      <c r="G18" s="5">
        <f t="shared" si="0"/>
        <v>0.704847473679223</v>
      </c>
      <c r="H18" s="5">
        <f t="shared" si="1"/>
        <v>170057.691863105</v>
      </c>
    </row>
    <row r="19" s="1" customFormat="1" spans="1:8">
      <c r="A19" s="4" t="s">
        <v>25</v>
      </c>
      <c r="B19" s="4" t="s">
        <v>8</v>
      </c>
      <c r="C19" s="4">
        <v>90</v>
      </c>
      <c r="D19" s="5">
        <v>449.846155887478</v>
      </c>
      <c r="E19" s="5">
        <v>457.134639756037</v>
      </c>
      <c r="F19" s="5">
        <v>163.526061065472</v>
      </c>
      <c r="G19" s="5">
        <f t="shared" si="0"/>
        <v>0.984056154938403</v>
      </c>
      <c r="H19" s="5">
        <f t="shared" si="1"/>
        <v>231100.487765716</v>
      </c>
    </row>
    <row r="20" s="1" customFormat="1" spans="1:8">
      <c r="A20" s="4" t="s">
        <v>26</v>
      </c>
      <c r="B20" s="4" t="s">
        <v>8</v>
      </c>
      <c r="C20" s="4">
        <v>150</v>
      </c>
      <c r="D20" s="5">
        <v>515.406350793275</v>
      </c>
      <c r="E20" s="5">
        <v>476.169028569737</v>
      </c>
      <c r="F20" s="5">
        <v>187.711611543926</v>
      </c>
      <c r="G20" s="5">
        <f t="shared" si="0"/>
        <v>1.08240208805977</v>
      </c>
      <c r="H20" s="5">
        <f t="shared" si="1"/>
        <v>303942.041723197</v>
      </c>
    </row>
    <row r="21" s="1" customFormat="1" spans="1:8">
      <c r="A21" s="4" t="s">
        <v>27</v>
      </c>
      <c r="B21" s="4" t="s">
        <v>8</v>
      </c>
      <c r="C21" s="4">
        <v>150</v>
      </c>
      <c r="D21" s="5">
        <v>457.228521436452</v>
      </c>
      <c r="E21" s="5">
        <v>467.949895995146</v>
      </c>
      <c r="F21" s="5">
        <v>202.671077967785</v>
      </c>
      <c r="G21" s="5">
        <f t="shared" si="0"/>
        <v>0.977088627114888</v>
      </c>
      <c r="H21" s="5">
        <f t="shared" si="1"/>
        <v>291121.958001759</v>
      </c>
    </row>
    <row r="22" s="1" customFormat="1" spans="1:8">
      <c r="A22" s="4" t="s">
        <v>28</v>
      </c>
      <c r="B22" s="4" t="s">
        <v>8</v>
      </c>
      <c r="C22" s="4">
        <v>150</v>
      </c>
      <c r="D22" s="5">
        <v>445.042652305825</v>
      </c>
      <c r="E22" s="5">
        <v>554.925629314995</v>
      </c>
      <c r="F22" s="5">
        <v>180.529143635383</v>
      </c>
      <c r="G22" s="5">
        <f t="shared" si="0"/>
        <v>0.801986119933205</v>
      </c>
      <c r="H22" s="5">
        <f t="shared" si="1"/>
        <v>252405.509188616</v>
      </c>
    </row>
    <row r="23" s="1" customFormat="1" spans="1:8">
      <c r="A23" s="4" t="s">
        <v>29</v>
      </c>
      <c r="B23" s="4" t="s">
        <v>8</v>
      </c>
      <c r="C23" s="4">
        <v>150</v>
      </c>
      <c r="D23" s="5">
        <v>405.947438034637</v>
      </c>
      <c r="E23" s="5">
        <v>514.544768171084</v>
      </c>
      <c r="F23" s="5">
        <v>189.718442364209</v>
      </c>
      <c r="G23" s="5">
        <f t="shared" si="0"/>
        <v>0.788944836573795</v>
      </c>
      <c r="H23" s="5">
        <f t="shared" si="1"/>
        <v>241952.006420574</v>
      </c>
    </row>
    <row r="24" s="1" customFormat="1" spans="1:8">
      <c r="A24" s="4" t="s">
        <v>30</v>
      </c>
      <c r="B24" s="4" t="s">
        <v>8</v>
      </c>
      <c r="C24" s="4">
        <v>150</v>
      </c>
      <c r="D24" s="5">
        <v>407.473501965427</v>
      </c>
      <c r="E24" s="5">
        <v>537.951891096377</v>
      </c>
      <c r="F24" s="5">
        <v>186.864525479517</v>
      </c>
      <c r="G24" s="5">
        <f t="shared" si="0"/>
        <v>0.757453424199276</v>
      </c>
      <c r="H24" s="5">
        <f t="shared" si="1"/>
        <v>239208.224108636</v>
      </c>
    </row>
    <row r="25" s="1" customFormat="1" spans="1:8">
      <c r="A25" s="4" t="s">
        <v>31</v>
      </c>
      <c r="B25" s="4" t="s">
        <v>8</v>
      </c>
      <c r="C25" s="4">
        <v>150</v>
      </c>
      <c r="D25" s="5">
        <v>450.39360210356</v>
      </c>
      <c r="E25" s="5">
        <v>551.144301904406</v>
      </c>
      <c r="F25" s="5">
        <v>153.438936245955</v>
      </c>
      <c r="G25" s="5">
        <f t="shared" si="0"/>
        <v>0.817197239538329</v>
      </c>
      <c r="H25" s="5">
        <f t="shared" si="1"/>
        <v>217108.918693313</v>
      </c>
    </row>
    <row r="26" s="1" customFormat="1" spans="1:8">
      <c r="A26" s="4" t="s">
        <v>32</v>
      </c>
      <c r="B26" s="4" t="s">
        <v>8</v>
      </c>
      <c r="C26" s="4">
        <v>210</v>
      </c>
      <c r="D26" s="5">
        <v>544.651544189468</v>
      </c>
      <c r="E26" s="5">
        <v>373.127503677552</v>
      </c>
      <c r="F26" s="5">
        <v>116.687838908502</v>
      </c>
      <c r="G26" s="5">
        <f t="shared" si="0"/>
        <v>1.45969283642018</v>
      </c>
      <c r="H26" s="5">
        <f t="shared" si="1"/>
        <v>199661.444423223</v>
      </c>
    </row>
    <row r="27" s="1" customFormat="1" spans="1:8">
      <c r="A27" s="4" t="s">
        <v>33</v>
      </c>
      <c r="B27" s="4" t="s">
        <v>8</v>
      </c>
      <c r="C27" s="4">
        <v>210</v>
      </c>
      <c r="D27" s="5">
        <v>439.255122368171</v>
      </c>
      <c r="E27" s="5">
        <v>278.910468874929</v>
      </c>
      <c r="F27" s="5">
        <v>130.553885332191</v>
      </c>
      <c r="G27" s="5">
        <f t="shared" si="0"/>
        <v>1.57489650402884</v>
      </c>
      <c r="H27" s="5">
        <f t="shared" si="1"/>
        <v>180159.226484471</v>
      </c>
    </row>
    <row r="28" s="1" customFormat="1" spans="1:8">
      <c r="A28" s="4" t="s">
        <v>34</v>
      </c>
      <c r="B28" s="4" t="s">
        <v>8</v>
      </c>
      <c r="C28" s="4">
        <v>210</v>
      </c>
      <c r="D28" s="5">
        <v>445.219827101248</v>
      </c>
      <c r="E28" s="5">
        <v>496.387604923717</v>
      </c>
      <c r="F28" s="5">
        <v>158.010625755895</v>
      </c>
      <c r="G28" s="5">
        <f t="shared" si="0"/>
        <v>0.89691971089743</v>
      </c>
      <c r="H28" s="5">
        <f t="shared" si="1"/>
        <v>221009.357650237</v>
      </c>
    </row>
    <row r="29" s="1" customFormat="1" spans="1:8">
      <c r="A29" s="4" t="s">
        <v>35</v>
      </c>
      <c r="B29" s="4" t="s">
        <v>8</v>
      </c>
      <c r="C29" s="4">
        <v>210</v>
      </c>
      <c r="D29" s="5">
        <v>592.53601385844</v>
      </c>
      <c r="E29" s="5">
        <v>486.336993877231</v>
      </c>
      <c r="F29" s="5">
        <v>161.737148481052</v>
      </c>
      <c r="G29" s="5">
        <f t="shared" si="0"/>
        <v>1.21836508700388</v>
      </c>
      <c r="H29" s="5">
        <f t="shared" si="1"/>
        <v>301074.799789468</v>
      </c>
    </row>
    <row r="30" s="1" customFormat="1" spans="1:8">
      <c r="A30" s="4" t="s">
        <v>36</v>
      </c>
      <c r="B30" s="4" t="s">
        <v>8</v>
      </c>
      <c r="C30" s="4">
        <v>210</v>
      </c>
      <c r="D30" s="5">
        <v>537.643856914516</v>
      </c>
      <c r="E30" s="5">
        <v>499.902603694056</v>
      </c>
      <c r="F30" s="5">
        <v>169.209307269713</v>
      </c>
      <c r="G30" s="5">
        <f t="shared" si="0"/>
        <v>1.07549721274018</v>
      </c>
      <c r="H30" s="5">
        <f t="shared" si="1"/>
        <v>285804.332617535</v>
      </c>
    </row>
    <row r="31" s="1" customFormat="1" spans="1:8">
      <c r="A31" s="4" t="s">
        <v>37</v>
      </c>
      <c r="B31" s="4" t="s">
        <v>8</v>
      </c>
      <c r="C31" s="4">
        <v>210</v>
      </c>
      <c r="D31" s="5">
        <v>532.44240252014</v>
      </c>
      <c r="E31" s="5">
        <v>435.896183918612</v>
      </c>
      <c r="F31" s="5">
        <v>170.573511041107</v>
      </c>
      <c r="G31" s="5">
        <f t="shared" si="0"/>
        <v>1.22148902000838</v>
      </c>
      <c r="H31" s="5">
        <f t="shared" si="1"/>
        <v>285321.235585449</v>
      </c>
    </row>
    <row r="32" s="1" customFormat="1" spans="1:8">
      <c r="A32" s="4" t="s">
        <v>38</v>
      </c>
      <c r="B32" s="4" t="s">
        <v>8</v>
      </c>
      <c r="C32" s="4">
        <v>300</v>
      </c>
      <c r="D32" s="5">
        <v>423.077265993178</v>
      </c>
      <c r="E32" s="5">
        <v>338.45534068486</v>
      </c>
      <c r="F32" s="5">
        <v>147.229021739701</v>
      </c>
      <c r="G32" s="5">
        <f t="shared" si="0"/>
        <v>1.25002390311551</v>
      </c>
      <c r="H32" s="5">
        <f t="shared" si="1"/>
        <v>195687.456457188</v>
      </c>
    </row>
    <row r="33" s="1" customFormat="1" spans="1:8">
      <c r="A33" s="4" t="s">
        <v>39</v>
      </c>
      <c r="B33" s="4" t="s">
        <v>8</v>
      </c>
      <c r="C33" s="4">
        <v>300</v>
      </c>
      <c r="D33" s="5">
        <v>516.937206712899</v>
      </c>
      <c r="E33" s="5">
        <v>560.390815894591</v>
      </c>
      <c r="F33" s="5">
        <v>210.802363467406</v>
      </c>
      <c r="G33" s="5">
        <f t="shared" si="0"/>
        <v>0.922458384489539</v>
      </c>
      <c r="H33" s="5">
        <f t="shared" si="1"/>
        <v>342344.330695398</v>
      </c>
    </row>
    <row r="34" s="1" customFormat="1" spans="1:8">
      <c r="A34" s="4" t="s">
        <v>40</v>
      </c>
      <c r="B34" s="4" t="s">
        <v>8</v>
      </c>
      <c r="C34" s="4">
        <v>300</v>
      </c>
      <c r="D34" s="5">
        <v>502.55792570609</v>
      </c>
      <c r="E34" s="5">
        <v>473.919999613857</v>
      </c>
      <c r="F34" s="5">
        <v>155.95362163504</v>
      </c>
      <c r="G34" s="5">
        <f t="shared" si="0"/>
        <v>1.06042776442346</v>
      </c>
      <c r="H34" s="5">
        <f t="shared" si="1"/>
        <v>246224.61317461</v>
      </c>
    </row>
    <row r="35" s="1" customFormat="1" spans="1:8">
      <c r="A35" s="4" t="s">
        <v>41</v>
      </c>
      <c r="B35" s="4" t="s">
        <v>8</v>
      </c>
      <c r="C35" s="4">
        <v>300</v>
      </c>
      <c r="D35" s="5">
        <v>372.915938362999</v>
      </c>
      <c r="E35" s="5">
        <v>350.248205919633</v>
      </c>
      <c r="F35" s="5">
        <v>169.166287392125</v>
      </c>
      <c r="G35" s="5">
        <f t="shared" si="0"/>
        <v>1.06471905368894</v>
      </c>
      <c r="H35" s="5">
        <f t="shared" si="1"/>
        <v>198186.759319798</v>
      </c>
    </row>
    <row r="36" s="1" customFormat="1" spans="1:8">
      <c r="A36" s="4" t="s">
        <v>42</v>
      </c>
      <c r="B36" s="4" t="s">
        <v>8</v>
      </c>
      <c r="C36" s="4">
        <v>300</v>
      </c>
      <c r="D36" s="5">
        <v>314.425861023463</v>
      </c>
      <c r="E36" s="5">
        <v>384.442766444175</v>
      </c>
      <c r="F36" s="5">
        <v>157.446054490291</v>
      </c>
      <c r="G36" s="5">
        <f t="shared" si="0"/>
        <v>0.817874306575413</v>
      </c>
      <c r="H36" s="5">
        <f t="shared" si="1"/>
        <v>155524.893811412</v>
      </c>
    </row>
    <row r="37" s="1" customFormat="1" spans="1:8">
      <c r="A37" s="4" t="s">
        <v>43</v>
      </c>
      <c r="B37" s="4" t="s">
        <v>8</v>
      </c>
      <c r="C37" s="4">
        <v>300</v>
      </c>
      <c r="D37" s="5">
        <v>383.839308803464</v>
      </c>
      <c r="E37" s="5">
        <v>429.824632655471</v>
      </c>
      <c r="F37" s="5">
        <v>143.786618512202</v>
      </c>
      <c r="G37" s="5">
        <f t="shared" si="0"/>
        <v>0.893013754079406</v>
      </c>
      <c r="H37" s="5">
        <f t="shared" si="1"/>
        <v>173387.50274644</v>
      </c>
    </row>
    <row r="38" s="1" customFormat="1" spans="1:8">
      <c r="A38" s="4" t="s">
        <v>44</v>
      </c>
      <c r="B38" s="4" t="s">
        <v>45</v>
      </c>
      <c r="C38" s="4">
        <v>30</v>
      </c>
      <c r="D38" s="5">
        <v>271.679190903335</v>
      </c>
      <c r="E38" s="5">
        <v>449.724074271845</v>
      </c>
      <c r="F38" s="5">
        <v>138.437316219924</v>
      </c>
      <c r="G38" s="5">
        <f t="shared" si="0"/>
        <v>0.604101951498182</v>
      </c>
      <c r="H38" s="5">
        <f t="shared" si="1"/>
        <v>118156.990071436</v>
      </c>
    </row>
    <row r="39" s="1" customFormat="1" spans="1:8">
      <c r="A39" s="4" t="s">
        <v>46</v>
      </c>
      <c r="B39" s="4" t="s">
        <v>45</v>
      </c>
      <c r="C39" s="4">
        <v>30</v>
      </c>
      <c r="D39" s="5">
        <v>353.652284857776</v>
      </c>
      <c r="E39" s="5">
        <v>377.788533180038</v>
      </c>
      <c r="F39" s="5">
        <v>160.331358712315</v>
      </c>
      <c r="G39" s="5">
        <f t="shared" si="0"/>
        <v>0.936111749821799</v>
      </c>
      <c r="H39" s="5">
        <f t="shared" si="1"/>
        <v>178133.177146194</v>
      </c>
    </row>
    <row r="40" s="1" customFormat="1" spans="1:8">
      <c r="A40" s="4" t="s">
        <v>47</v>
      </c>
      <c r="B40" s="4" t="s">
        <v>45</v>
      </c>
      <c r="C40" s="4">
        <v>30</v>
      </c>
      <c r="D40" s="5">
        <v>432.102927098801</v>
      </c>
      <c r="E40" s="5">
        <v>432.927827127356</v>
      </c>
      <c r="F40" s="5">
        <v>184.099075813821</v>
      </c>
      <c r="G40" s="5">
        <f t="shared" si="0"/>
        <v>0.99809460150892</v>
      </c>
      <c r="H40" s="5">
        <f t="shared" si="1"/>
        <v>249912.90873512</v>
      </c>
    </row>
    <row r="41" s="1" customFormat="1" spans="1:8">
      <c r="A41" s="4" t="s">
        <v>48</v>
      </c>
      <c r="B41" s="4" t="s">
        <v>45</v>
      </c>
      <c r="C41" s="4">
        <v>30</v>
      </c>
      <c r="D41" s="5">
        <v>298.400914055092</v>
      </c>
      <c r="E41" s="5">
        <v>399.593993678031</v>
      </c>
      <c r="F41" s="5">
        <v>154.806120975389</v>
      </c>
      <c r="G41" s="5">
        <f t="shared" si="0"/>
        <v>0.7467602586027</v>
      </c>
      <c r="H41" s="5">
        <f t="shared" si="1"/>
        <v>145123.635819803</v>
      </c>
    </row>
    <row r="42" s="1" customFormat="1" spans="1:8">
      <c r="A42" s="4" t="s">
        <v>49</v>
      </c>
      <c r="B42" s="4" t="s">
        <v>45</v>
      </c>
      <c r="C42" s="4">
        <v>30</v>
      </c>
      <c r="D42" s="5">
        <v>229.431947925861</v>
      </c>
      <c r="E42" s="5">
        <v>471.571649823478</v>
      </c>
      <c r="F42" s="5">
        <v>145.560669450574</v>
      </c>
      <c r="G42" s="5">
        <f t="shared" si="0"/>
        <v>0.486526168423703</v>
      </c>
      <c r="H42" s="5">
        <f t="shared" si="1"/>
        <v>104917.469997004</v>
      </c>
    </row>
    <row r="43" s="1" customFormat="1" spans="1:8">
      <c r="A43" s="4" t="s">
        <v>50</v>
      </c>
      <c r="B43" s="4" t="s">
        <v>45</v>
      </c>
      <c r="C43" s="4">
        <v>30</v>
      </c>
      <c r="D43" s="5">
        <v>263.302629533354</v>
      </c>
      <c r="E43" s="5">
        <v>379.852568321328</v>
      </c>
      <c r="F43" s="5">
        <v>147.8290747886</v>
      </c>
      <c r="G43" s="5">
        <f t="shared" si="0"/>
        <v>0.693170591677082</v>
      </c>
      <c r="H43" s="5">
        <f t="shared" si="1"/>
        <v>122282.674220325</v>
      </c>
    </row>
    <row r="44" s="1" customFormat="1" spans="1:8">
      <c r="A44" s="4" t="s">
        <v>51</v>
      </c>
      <c r="B44" s="4" t="s">
        <v>45</v>
      </c>
      <c r="C44" s="4">
        <v>60</v>
      </c>
      <c r="D44" s="5">
        <v>503.405901518948</v>
      </c>
      <c r="E44" s="5">
        <v>653.74887835891</v>
      </c>
      <c r="F44" s="5">
        <v>204.943562871907</v>
      </c>
      <c r="G44" s="5">
        <f t="shared" si="0"/>
        <v>0.770029468781095</v>
      </c>
      <c r="H44" s="5">
        <f t="shared" si="1"/>
        <v>324117.482698818</v>
      </c>
    </row>
    <row r="45" s="1" customFormat="1" spans="1:8">
      <c r="A45" s="4" t="s">
        <v>52</v>
      </c>
      <c r="B45" s="4" t="s">
        <v>45</v>
      </c>
      <c r="C45" s="4">
        <v>60</v>
      </c>
      <c r="D45" s="5">
        <v>333.885307296264</v>
      </c>
      <c r="E45" s="5">
        <v>575.559751309209</v>
      </c>
      <c r="F45" s="5">
        <v>190.720729508679</v>
      </c>
      <c r="G45" s="5">
        <f t="shared" si="0"/>
        <v>0.580105378350006</v>
      </c>
      <c r="H45" s="5">
        <f t="shared" si="1"/>
        <v>200053.005400546</v>
      </c>
    </row>
    <row r="46" s="1" customFormat="1" spans="1:8">
      <c r="A46" s="4" t="s">
        <v>53</v>
      </c>
      <c r="B46" s="4" t="s">
        <v>45</v>
      </c>
      <c r="C46" s="4">
        <v>60</v>
      </c>
      <c r="D46" s="5">
        <v>415.678397922782</v>
      </c>
      <c r="E46" s="5">
        <v>482.920566380673</v>
      </c>
      <c r="F46" s="5">
        <v>182.200843948973</v>
      </c>
      <c r="G46" s="5">
        <f t="shared" si="0"/>
        <v>0.860759360567622</v>
      </c>
      <c r="H46" s="5">
        <f t="shared" si="1"/>
        <v>237934.66115959</v>
      </c>
    </row>
    <row r="47" s="1" customFormat="1" spans="1:8">
      <c r="A47" s="4" t="s">
        <v>54</v>
      </c>
      <c r="B47" s="4" t="s">
        <v>45</v>
      </c>
      <c r="C47" s="4">
        <v>60</v>
      </c>
      <c r="D47" s="5">
        <v>342.180980222361</v>
      </c>
      <c r="E47" s="5">
        <v>541.473721562794</v>
      </c>
      <c r="F47" s="5">
        <v>198.255157751331</v>
      </c>
      <c r="G47" s="5">
        <f t="shared" si="0"/>
        <v>0.631943835122345</v>
      </c>
      <c r="H47" s="5">
        <f t="shared" si="1"/>
        <v>213122.957086916</v>
      </c>
    </row>
    <row r="48" s="1" customFormat="1" spans="1:8">
      <c r="A48" s="4" t="s">
        <v>55</v>
      </c>
      <c r="B48" s="4" t="s">
        <v>45</v>
      </c>
      <c r="C48" s="4">
        <v>60</v>
      </c>
      <c r="D48" s="5">
        <v>419.872560444723</v>
      </c>
      <c r="E48" s="5">
        <v>501.884743877232</v>
      </c>
      <c r="F48" s="5">
        <v>232.865658690886</v>
      </c>
      <c r="G48" s="5">
        <f t="shared" si="0"/>
        <v>0.836591599101147</v>
      </c>
      <c r="H48" s="5">
        <f t="shared" si="1"/>
        <v>307165.767065541</v>
      </c>
    </row>
    <row r="49" s="1" customFormat="1" spans="1:8">
      <c r="A49" s="4" t="s">
        <v>56</v>
      </c>
      <c r="B49" s="4" t="s">
        <v>45</v>
      </c>
      <c r="C49" s="4">
        <v>60</v>
      </c>
      <c r="D49" s="5">
        <v>424.993014090445</v>
      </c>
      <c r="E49" s="5">
        <v>506.652678564129</v>
      </c>
      <c r="F49" s="5">
        <v>182.681457652018</v>
      </c>
      <c r="G49" s="5">
        <f t="shared" si="0"/>
        <v>0.838825159860774</v>
      </c>
      <c r="H49" s="5">
        <f t="shared" si="1"/>
        <v>243908.048966909</v>
      </c>
    </row>
    <row r="50" s="1" customFormat="1" spans="1:8">
      <c r="A50" s="4" t="s">
        <v>57</v>
      </c>
      <c r="B50" s="4" t="s">
        <v>45</v>
      </c>
      <c r="C50" s="4">
        <v>90</v>
      </c>
      <c r="D50" s="5">
        <v>445.694640423654</v>
      </c>
      <c r="E50" s="5">
        <v>447.34825139747</v>
      </c>
      <c r="F50" s="5">
        <v>181.800791100324</v>
      </c>
      <c r="G50" s="5">
        <f t="shared" si="0"/>
        <v>0.996303526461431</v>
      </c>
      <c r="H50" s="5">
        <f t="shared" si="1"/>
        <v>254555.832964012</v>
      </c>
    </row>
    <row r="51" s="1" customFormat="1" spans="1:8">
      <c r="A51" s="4" t="s">
        <v>58</v>
      </c>
      <c r="B51" s="4" t="s">
        <v>45</v>
      </c>
      <c r="C51" s="4">
        <v>90</v>
      </c>
      <c r="D51" s="5">
        <v>409.639183598117</v>
      </c>
      <c r="E51" s="5">
        <v>611.646906413651</v>
      </c>
      <c r="F51" s="5">
        <v>207.535327611062</v>
      </c>
      <c r="G51" s="5">
        <f t="shared" si="0"/>
        <v>0.669731473016038</v>
      </c>
      <c r="H51" s="5">
        <f t="shared" si="1"/>
        <v>267081.249626272</v>
      </c>
    </row>
    <row r="52" s="1" customFormat="1" spans="1:8">
      <c r="A52" s="4" t="s">
        <v>59</v>
      </c>
      <c r="B52" s="4" t="s">
        <v>45</v>
      </c>
      <c r="C52" s="4">
        <v>90</v>
      </c>
      <c r="D52" s="5">
        <v>336.032512773058</v>
      </c>
      <c r="E52" s="5">
        <v>560.864909557039</v>
      </c>
      <c r="F52" s="5">
        <v>169.296480643204</v>
      </c>
      <c r="G52" s="5">
        <f t="shared" si="0"/>
        <v>0.599132709226631</v>
      </c>
      <c r="H52" s="5">
        <f t="shared" si="1"/>
        <v>178722.447097743</v>
      </c>
    </row>
    <row r="53" s="1" customFormat="1" spans="1:8">
      <c r="A53" s="4" t="s">
        <v>60</v>
      </c>
      <c r="B53" s="4" t="s">
        <v>45</v>
      </c>
      <c r="C53" s="4">
        <v>90</v>
      </c>
      <c r="D53" s="5">
        <v>351.784046092233</v>
      </c>
      <c r="E53" s="5">
        <v>550.586549174757</v>
      </c>
      <c r="F53" s="5">
        <v>200.983236941748</v>
      </c>
      <c r="G53" s="5">
        <f t="shared" si="0"/>
        <v>0.638925971982974</v>
      </c>
      <c r="H53" s="5">
        <f t="shared" si="1"/>
        <v>222119.071247629</v>
      </c>
    </row>
    <row r="54" s="1" customFormat="1" spans="1:8">
      <c r="A54" s="4" t="s">
        <v>61</v>
      </c>
      <c r="B54" s="4" t="s">
        <v>45</v>
      </c>
      <c r="C54" s="4">
        <v>90</v>
      </c>
      <c r="D54" s="5">
        <v>377.950702454153</v>
      </c>
      <c r="E54" s="5">
        <v>473.11927688781</v>
      </c>
      <c r="F54" s="5">
        <v>206.646304004854</v>
      </c>
      <c r="G54" s="5">
        <f t="shared" si="0"/>
        <v>0.79884866442205</v>
      </c>
      <c r="H54" s="5">
        <f t="shared" si="1"/>
        <v>245365.033095746</v>
      </c>
    </row>
    <row r="55" s="1" customFormat="1" spans="1:8">
      <c r="A55" s="4" t="s">
        <v>62</v>
      </c>
      <c r="B55" s="4" t="s">
        <v>45</v>
      </c>
      <c r="C55" s="4">
        <v>90</v>
      </c>
      <c r="D55" s="5">
        <v>392.25062110373</v>
      </c>
      <c r="E55" s="5">
        <v>462.797612812979</v>
      </c>
      <c r="F55" s="5">
        <v>137.916905710271</v>
      </c>
      <c r="G55" s="5">
        <f t="shared" si="0"/>
        <v>0.847564054446068</v>
      </c>
      <c r="H55" s="5">
        <f t="shared" si="1"/>
        <v>169953.854007294</v>
      </c>
    </row>
    <row r="56" s="1" customFormat="1" spans="1:8">
      <c r="A56" s="4" t="s">
        <v>63</v>
      </c>
      <c r="B56" s="4" t="s">
        <v>45</v>
      </c>
      <c r="C56" s="4">
        <v>150</v>
      </c>
      <c r="D56" s="5">
        <v>368.047757394822</v>
      </c>
      <c r="E56" s="5">
        <v>695.963278802589</v>
      </c>
      <c r="F56" s="5">
        <v>184.501673640777</v>
      </c>
      <c r="G56" s="5">
        <f t="shared" si="0"/>
        <v>0.52883215049514</v>
      </c>
      <c r="H56" s="5">
        <f t="shared" si="1"/>
        <v>213331.191290336</v>
      </c>
    </row>
    <row r="57" s="1" customFormat="1" spans="1:8">
      <c r="A57" s="4" t="s">
        <v>64</v>
      </c>
      <c r="B57" s="4" t="s">
        <v>45</v>
      </c>
      <c r="C57" s="4">
        <v>150</v>
      </c>
      <c r="D57" s="5">
        <v>429.91270615324</v>
      </c>
      <c r="E57" s="5">
        <v>578.698930031488</v>
      </c>
      <c r="F57" s="5">
        <v>158.569564418788</v>
      </c>
      <c r="G57" s="5">
        <f t="shared" si="0"/>
        <v>0.742895284305861</v>
      </c>
      <c r="H57" s="5">
        <f t="shared" si="1"/>
        <v>214165.734436096</v>
      </c>
    </row>
    <row r="58" s="1" customFormat="1" spans="1:8">
      <c r="A58" s="4" t="s">
        <v>65</v>
      </c>
      <c r="B58" s="4" t="s">
        <v>45</v>
      </c>
      <c r="C58" s="4">
        <v>150</v>
      </c>
      <c r="D58" s="5">
        <v>467.491358281848</v>
      </c>
      <c r="E58" s="5">
        <v>548.884381465137</v>
      </c>
      <c r="F58" s="5">
        <v>182.738941335687</v>
      </c>
      <c r="G58" s="5">
        <f t="shared" si="0"/>
        <v>0.851711897930077</v>
      </c>
      <c r="H58" s="5">
        <f t="shared" si="1"/>
        <v>268382.728919331</v>
      </c>
    </row>
    <row r="59" s="1" customFormat="1" spans="1:8">
      <c r="A59" s="4" t="s">
        <v>66</v>
      </c>
      <c r="B59" s="4" t="s">
        <v>45</v>
      </c>
      <c r="C59" s="4">
        <v>150</v>
      </c>
      <c r="D59" s="5">
        <v>450.708203055397</v>
      </c>
      <c r="E59" s="5">
        <v>661.530417475728</v>
      </c>
      <c r="F59" s="5">
        <v>160.835729725871</v>
      </c>
      <c r="G59" s="5">
        <f t="shared" si="0"/>
        <v>0.681311382136006</v>
      </c>
      <c r="H59" s="5">
        <f t="shared" si="1"/>
        <v>227733.997209233</v>
      </c>
    </row>
    <row r="60" s="1" customFormat="1" spans="1:8">
      <c r="A60" s="4" t="s">
        <v>67</v>
      </c>
      <c r="B60" s="4" t="s">
        <v>45</v>
      </c>
      <c r="C60" s="4">
        <v>150</v>
      </c>
      <c r="D60" s="5">
        <v>376.28128913835</v>
      </c>
      <c r="E60" s="5">
        <v>515.018739114078</v>
      </c>
      <c r="F60" s="5">
        <v>162.886577160194</v>
      </c>
      <c r="G60" s="5">
        <f t="shared" si="0"/>
        <v>0.730616695201459</v>
      </c>
      <c r="H60" s="5">
        <f t="shared" si="1"/>
        <v>192551.893288611</v>
      </c>
    </row>
    <row r="61" s="1" customFormat="1" spans="1:8">
      <c r="A61" s="4" t="s">
        <v>68</v>
      </c>
      <c r="B61" s="4" t="s">
        <v>45</v>
      </c>
      <c r="C61" s="4">
        <v>150</v>
      </c>
      <c r="D61" s="5">
        <v>263.200076213592</v>
      </c>
      <c r="E61" s="5">
        <v>541.476485131761</v>
      </c>
      <c r="F61" s="5">
        <v>150.251644743412</v>
      </c>
      <c r="G61" s="5">
        <f t="shared" si="0"/>
        <v>0.486078497295309</v>
      </c>
      <c r="H61" s="5">
        <f t="shared" si="1"/>
        <v>124238.19071975</v>
      </c>
    </row>
    <row r="62" s="1" customFormat="1" spans="1:8">
      <c r="A62" s="4" t="s">
        <v>69</v>
      </c>
      <c r="B62" s="4" t="s">
        <v>45</v>
      </c>
      <c r="C62" s="4">
        <v>210</v>
      </c>
      <c r="D62" s="5">
        <v>324.850533623644</v>
      </c>
      <c r="E62" s="5">
        <v>637.888745174186</v>
      </c>
      <c r="F62" s="5">
        <v>152.063413292404</v>
      </c>
      <c r="G62" s="5">
        <f t="shared" si="0"/>
        <v>0.50925892027604</v>
      </c>
      <c r="H62" s="5">
        <f t="shared" si="1"/>
        <v>155188.019903812</v>
      </c>
    </row>
    <row r="63" s="1" customFormat="1" spans="1:8">
      <c r="A63" s="4" t="s">
        <v>70</v>
      </c>
      <c r="B63" s="4" t="s">
        <v>45</v>
      </c>
      <c r="C63" s="4">
        <v>210</v>
      </c>
      <c r="D63" s="5">
        <v>448.233681600758</v>
      </c>
      <c r="E63" s="5">
        <v>548.379068387402</v>
      </c>
      <c r="F63" s="5">
        <v>159.604300473597</v>
      </c>
      <c r="G63" s="5">
        <f t="shared" si="0"/>
        <v>0.81737926817459</v>
      </c>
      <c r="H63" s="5">
        <f t="shared" si="1"/>
        <v>224749.611324629</v>
      </c>
    </row>
    <row r="64" s="1" customFormat="1" spans="1:8">
      <c r="A64" s="4" t="s">
        <v>71</v>
      </c>
      <c r="B64" s="4" t="s">
        <v>45</v>
      </c>
      <c r="C64" s="4">
        <v>210</v>
      </c>
      <c r="D64" s="5">
        <v>588.761379572291</v>
      </c>
      <c r="E64" s="5">
        <v>542.987671123065</v>
      </c>
      <c r="F64" s="5">
        <v>180.277681999475</v>
      </c>
      <c r="G64" s="5">
        <f t="shared" si="0"/>
        <v>1.08429971965027</v>
      </c>
      <c r="H64" s="5">
        <f t="shared" si="1"/>
        <v>333450.330533625</v>
      </c>
    </row>
    <row r="65" s="1" customFormat="1" spans="1:8">
      <c r="A65" s="4" t="s">
        <v>72</v>
      </c>
      <c r="B65" s="4" t="s">
        <v>45</v>
      </c>
      <c r="C65" s="4">
        <v>210</v>
      </c>
      <c r="D65" s="5">
        <v>293.239002727693</v>
      </c>
      <c r="E65" s="5">
        <v>633.557135413777</v>
      </c>
      <c r="F65" s="5">
        <v>193.591605929265</v>
      </c>
      <c r="G65" s="5">
        <f t="shared" si="0"/>
        <v>0.462845395208402</v>
      </c>
      <c r="H65" s="5">
        <f t="shared" si="1"/>
        <v>178343.846431374</v>
      </c>
    </row>
    <row r="66" s="1" customFormat="1" spans="1:8">
      <c r="A66" s="4" t="s">
        <v>73</v>
      </c>
      <c r="B66" s="4" t="s">
        <v>45</v>
      </c>
      <c r="C66" s="4">
        <v>210</v>
      </c>
      <c r="D66" s="5">
        <v>376.039657394822</v>
      </c>
      <c r="E66" s="5">
        <v>671.419205420712</v>
      </c>
      <c r="F66" s="5">
        <v>158.124949644013</v>
      </c>
      <c r="G66" s="5">
        <f t="shared" ref="G66:G72" si="2">D66/E66</f>
        <v>0.560066876787052</v>
      </c>
      <c r="H66" s="5">
        <f t="shared" ref="H66:H72" si="3">D66*F66*PI()</f>
        <v>186803.032109959</v>
      </c>
    </row>
    <row r="67" s="1" customFormat="1" spans="1:8">
      <c r="A67" s="4" t="s">
        <v>74</v>
      </c>
      <c r="B67" s="4" t="s">
        <v>45</v>
      </c>
      <c r="C67" s="4">
        <v>210</v>
      </c>
      <c r="D67" s="5">
        <v>415.673297478096</v>
      </c>
      <c r="E67" s="5">
        <v>544.893753717736</v>
      </c>
      <c r="F67" s="5">
        <v>195.933008441866</v>
      </c>
      <c r="G67" s="5">
        <f t="shared" si="2"/>
        <v>0.762852014070658</v>
      </c>
      <c r="H67" s="5">
        <f t="shared" si="3"/>
        <v>255864.248139653</v>
      </c>
    </row>
    <row r="68" s="1" customFormat="1" spans="1:8">
      <c r="A68" s="4" t="s">
        <v>75</v>
      </c>
      <c r="B68" s="4" t="s">
        <v>45</v>
      </c>
      <c r="C68" s="4">
        <v>300</v>
      </c>
      <c r="D68" s="5">
        <v>276.256081757793</v>
      </c>
      <c r="E68" s="5">
        <v>477.163666670925</v>
      </c>
      <c r="F68" s="5">
        <v>141.486436982626</v>
      </c>
      <c r="G68" s="5">
        <f t="shared" si="2"/>
        <v>0.578954562247323</v>
      </c>
      <c r="H68" s="5">
        <f t="shared" si="3"/>
        <v>122793.825762995</v>
      </c>
    </row>
    <row r="69" s="1" customFormat="1" spans="1:8">
      <c r="A69" s="4" t="s">
        <v>76</v>
      </c>
      <c r="B69" s="4" t="s">
        <v>45</v>
      </c>
      <c r="C69" s="4">
        <v>300</v>
      </c>
      <c r="D69" s="5">
        <v>341.863913121506</v>
      </c>
      <c r="E69" s="5">
        <v>506.449489673433</v>
      </c>
      <c r="F69" s="5">
        <v>183.506570609003</v>
      </c>
      <c r="G69" s="5">
        <f t="shared" si="2"/>
        <v>0.67502074756151</v>
      </c>
      <c r="H69" s="5">
        <f t="shared" si="3"/>
        <v>197085.535306557</v>
      </c>
    </row>
    <row r="70" s="1" customFormat="1" spans="1:8">
      <c r="A70" s="4" t="s">
        <v>77</v>
      </c>
      <c r="B70" s="4" t="s">
        <v>45</v>
      </c>
      <c r="C70" s="4">
        <v>300</v>
      </c>
      <c r="D70" s="5">
        <v>350.330803575657</v>
      </c>
      <c r="E70" s="5">
        <v>539.800048247691</v>
      </c>
      <c r="F70" s="5">
        <v>177.334184063462</v>
      </c>
      <c r="G70" s="5">
        <f t="shared" si="2"/>
        <v>0.649001060138671</v>
      </c>
      <c r="H70" s="5">
        <f t="shared" si="3"/>
        <v>195173.414024958</v>
      </c>
    </row>
    <row r="71" s="1" customFormat="1" spans="1:8">
      <c r="A71" s="4" t="s">
        <v>78</v>
      </c>
      <c r="B71" s="4" t="s">
        <v>45</v>
      </c>
      <c r="C71" s="4">
        <v>300</v>
      </c>
      <c r="D71" s="5">
        <v>417.069810409924</v>
      </c>
      <c r="E71" s="5">
        <v>530.954005798274</v>
      </c>
      <c r="F71" s="5">
        <v>136.173548880798</v>
      </c>
      <c r="G71" s="5">
        <f t="shared" si="2"/>
        <v>0.785510243552776</v>
      </c>
      <c r="H71" s="5">
        <f t="shared" si="3"/>
        <v>178423.224284553</v>
      </c>
    </row>
    <row r="72" s="1" customFormat="1" spans="1:8">
      <c r="A72" s="4" t="s">
        <v>80</v>
      </c>
      <c r="B72" s="4" t="s">
        <v>45</v>
      </c>
      <c r="C72" s="4">
        <v>300</v>
      </c>
      <c r="D72" s="5">
        <v>367.898998470874</v>
      </c>
      <c r="E72" s="5">
        <v>588.736522645631</v>
      </c>
      <c r="F72" s="5">
        <v>128.751244611651</v>
      </c>
      <c r="G72" s="5">
        <f t="shared" si="2"/>
        <v>0.624895830850837</v>
      </c>
      <c r="H72" s="5">
        <f t="shared" si="3"/>
        <v>148809.24533131</v>
      </c>
    </row>
    <row r="73" s="1" customFormat="1" spans="1:8">
      <c r="A73" s="2"/>
      <c r="B73" s="2"/>
      <c r="C73" s="2"/>
      <c r="D73" s="2"/>
      <c r="E73" s="6"/>
      <c r="F73" s="2"/>
      <c r="G73" s="6"/>
      <c r="H73" s="2"/>
    </row>
    <row r="74" s="1" customFormat="1" spans="1:8">
      <c r="A74" s="2"/>
      <c r="B74" s="2"/>
      <c r="C74" s="2"/>
      <c r="D74" s="2"/>
      <c r="E74" s="6"/>
      <c r="F74" s="2"/>
      <c r="G74" s="6"/>
      <c r="H74" s="2"/>
    </row>
    <row r="75" s="1" customFormat="1" spans="1:8">
      <c r="A75" s="2"/>
      <c r="B75" s="2"/>
      <c r="C75" s="2"/>
      <c r="D75" s="2"/>
      <c r="E75" s="6"/>
      <c r="F75" s="2"/>
      <c r="G75" s="6"/>
      <c r="H75" s="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1"/>
  <sheetViews>
    <sheetView topLeftCell="A13" workbookViewId="0">
      <selection activeCell="K12" sqref="K12"/>
    </sheetView>
  </sheetViews>
  <sheetFormatPr defaultColWidth="8.75454545454545" defaultRowHeight="14" outlineLevelCol="7"/>
  <cols>
    <col min="1" max="1" width="8.75454545454545" style="2"/>
    <col min="2" max="2" width="14.8181818181818" style="2" customWidth="1"/>
    <col min="3" max="3" width="6.5" style="2" customWidth="1"/>
    <col min="4" max="4" width="13.8727272727273" style="2" customWidth="1"/>
    <col min="5" max="5" width="14.8727272727273" style="2" customWidth="1"/>
    <col min="6" max="6" width="15.3727272727273" style="2" customWidth="1"/>
    <col min="7" max="7" width="18.3727272727273" style="2" customWidth="1"/>
    <col min="8" max="8" width="21.0909090909091" style="2" customWidth="1"/>
    <col min="9" max="16382" width="8.75454545454545" style="2"/>
    <col min="16383" max="16384" width="8.75454545454545" style="7"/>
  </cols>
  <sheetData>
    <row r="1" s="2" customFormat="1" ht="16" spans="1:8">
      <c r="A1" s="4" t="s">
        <v>0</v>
      </c>
      <c r="B1" s="4" t="s">
        <v>1</v>
      </c>
      <c r="C1" s="4" t="s">
        <v>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</row>
    <row r="2" s="2" customFormat="1" spans="1:8">
      <c r="A2" s="4" t="s">
        <v>7</v>
      </c>
      <c r="B2" s="4" t="s">
        <v>8</v>
      </c>
      <c r="C2" s="4">
        <v>30</v>
      </c>
      <c r="D2" s="5">
        <v>359.488651535566</v>
      </c>
      <c r="E2" s="5">
        <v>263.199659183674</v>
      </c>
      <c r="F2" s="5">
        <v>142.517600168417</v>
      </c>
      <c r="G2" s="5">
        <f t="shared" ref="G2:G31" si="0">D2/E2</f>
        <v>1.36584011031981</v>
      </c>
      <c r="H2" s="5">
        <f t="shared" ref="H2:H31" si="1">D2*F2*PI()</f>
        <v>160954.66125437</v>
      </c>
    </row>
    <row r="3" s="2" customFormat="1" spans="1:8">
      <c r="A3" s="4" t="s">
        <v>9</v>
      </c>
      <c r="B3" s="4" t="s">
        <v>8</v>
      </c>
      <c r="C3" s="4">
        <v>30</v>
      </c>
      <c r="D3" s="5">
        <v>206.447675025549</v>
      </c>
      <c r="E3" s="5">
        <v>262.284112736331</v>
      </c>
      <c r="F3" s="5">
        <v>118.654193408278</v>
      </c>
      <c r="G3" s="5">
        <f t="shared" si="0"/>
        <v>0.78711467832246</v>
      </c>
      <c r="H3" s="5">
        <f t="shared" si="1"/>
        <v>76956.084069054</v>
      </c>
    </row>
    <row r="4" s="2" customFormat="1" spans="1:8">
      <c r="A4" s="4" t="s">
        <v>10</v>
      </c>
      <c r="B4" s="4" t="s">
        <v>8</v>
      </c>
      <c r="C4" s="4">
        <v>30</v>
      </c>
      <c r="D4" s="5">
        <v>183.93701566422</v>
      </c>
      <c r="E4" s="5">
        <v>288.436836881364</v>
      </c>
      <c r="F4" s="5">
        <v>125.332455730523</v>
      </c>
      <c r="G4" s="5">
        <f t="shared" si="0"/>
        <v>0.637702928838713</v>
      </c>
      <c r="H4" s="5">
        <f t="shared" si="1"/>
        <v>72424.0084067936</v>
      </c>
    </row>
    <row r="5" s="2" customFormat="1" spans="1:8">
      <c r="A5" s="4" t="s">
        <v>11</v>
      </c>
      <c r="B5" s="4" t="s">
        <v>8</v>
      </c>
      <c r="C5" s="4">
        <v>30</v>
      </c>
      <c r="D5" s="5">
        <v>221.433964620897</v>
      </c>
      <c r="E5" s="5">
        <v>255.578618238558</v>
      </c>
      <c r="F5" s="5">
        <v>119.772789447527</v>
      </c>
      <c r="G5" s="5">
        <f t="shared" si="0"/>
        <v>0.866402542384081</v>
      </c>
      <c r="H5" s="5">
        <f t="shared" si="1"/>
        <v>83320.577752198</v>
      </c>
    </row>
    <row r="6" s="2" customFormat="1" spans="1:8">
      <c r="A6" s="4" t="s">
        <v>12</v>
      </c>
      <c r="B6" s="4" t="s">
        <v>8</v>
      </c>
      <c r="C6" s="4">
        <v>30</v>
      </c>
      <c r="D6" s="5">
        <v>189.467798619539</v>
      </c>
      <c r="E6" s="5">
        <v>257.108893932039</v>
      </c>
      <c r="F6" s="5">
        <v>100.055819007888</v>
      </c>
      <c r="G6" s="5">
        <f t="shared" si="0"/>
        <v>0.73691654816741</v>
      </c>
      <c r="H6" s="5">
        <f t="shared" si="1"/>
        <v>59556.2896075231</v>
      </c>
    </row>
    <row r="7" s="2" customFormat="1" spans="1:8">
      <c r="A7" s="4" t="s">
        <v>13</v>
      </c>
      <c r="B7" s="4" t="s">
        <v>8</v>
      </c>
      <c r="C7" s="4">
        <v>30</v>
      </c>
      <c r="D7" s="5">
        <v>242.001061888445</v>
      </c>
      <c r="E7" s="5">
        <v>234.546935750999</v>
      </c>
      <c r="F7" s="5">
        <v>120.396777993528</v>
      </c>
      <c r="G7" s="5">
        <f t="shared" si="0"/>
        <v>1.0317809572467</v>
      </c>
      <c r="H7" s="5">
        <f t="shared" si="1"/>
        <v>91533.9088951766</v>
      </c>
    </row>
    <row r="8" s="2" customFormat="1" spans="1:8">
      <c r="A8" s="4" t="s">
        <v>14</v>
      </c>
      <c r="B8" s="4" t="s">
        <v>8</v>
      </c>
      <c r="C8" s="4">
        <v>60</v>
      </c>
      <c r="D8" s="5">
        <v>303.576122164607</v>
      </c>
      <c r="E8" s="5">
        <v>367.382981112092</v>
      </c>
      <c r="F8" s="5">
        <v>170.078894042365</v>
      </c>
      <c r="G8" s="5">
        <f t="shared" si="0"/>
        <v>0.826320591241495</v>
      </c>
      <c r="H8" s="5">
        <f t="shared" si="1"/>
        <v>162206.369819171</v>
      </c>
    </row>
    <row r="9" s="2" customFormat="1" spans="1:8">
      <c r="A9" s="4" t="s">
        <v>15</v>
      </c>
      <c r="B9" s="4" t="s">
        <v>8</v>
      </c>
      <c r="C9" s="4">
        <v>60</v>
      </c>
      <c r="D9" s="5">
        <v>349.023618446602</v>
      </c>
      <c r="E9" s="5">
        <v>376.423938861191</v>
      </c>
      <c r="F9" s="5">
        <v>171.140662240882</v>
      </c>
      <c r="G9" s="5">
        <f t="shared" si="0"/>
        <v>0.927208879176271</v>
      </c>
      <c r="H9" s="5">
        <f t="shared" si="1"/>
        <v>187654.030840158</v>
      </c>
    </row>
    <row r="10" s="2" customFormat="1" spans="1:8">
      <c r="A10" s="4" t="s">
        <v>16</v>
      </c>
      <c r="B10" s="4" t="s">
        <v>8</v>
      </c>
      <c r="C10" s="4">
        <v>60</v>
      </c>
      <c r="D10" s="5">
        <v>329.756537125369</v>
      </c>
      <c r="E10" s="5">
        <v>347.923149071338</v>
      </c>
      <c r="F10" s="5">
        <v>171.703490628957</v>
      </c>
      <c r="G10" s="5">
        <f t="shared" si="0"/>
        <v>0.947785561281396</v>
      </c>
      <c r="H10" s="5">
        <f t="shared" si="1"/>
        <v>177878.070835195</v>
      </c>
    </row>
    <row r="11" s="2" customFormat="1" spans="1:8">
      <c r="A11" s="4" t="s">
        <v>17</v>
      </c>
      <c r="B11" s="4" t="s">
        <v>8</v>
      </c>
      <c r="C11" s="4">
        <v>60</v>
      </c>
      <c r="D11" s="5">
        <v>384.800889894086</v>
      </c>
      <c r="E11" s="5">
        <v>383.547518902618</v>
      </c>
      <c r="F11" s="5">
        <v>178.793536054722</v>
      </c>
      <c r="G11" s="5">
        <f t="shared" si="0"/>
        <v>1.00326783756822</v>
      </c>
      <c r="H11" s="5">
        <f t="shared" si="1"/>
        <v>216141.297419341</v>
      </c>
    </row>
    <row r="12" s="2" customFormat="1" spans="1:8">
      <c r="A12" s="4" t="s">
        <v>18</v>
      </c>
      <c r="B12" s="4" t="s">
        <v>8</v>
      </c>
      <c r="C12" s="4">
        <v>60</v>
      </c>
      <c r="D12" s="5">
        <v>276.728216514968</v>
      </c>
      <c r="E12" s="5">
        <v>302.30824888754</v>
      </c>
      <c r="F12" s="5">
        <v>166.079120125405</v>
      </c>
      <c r="G12" s="5">
        <f t="shared" si="0"/>
        <v>0.91538427262007</v>
      </c>
      <c r="H12" s="5">
        <f t="shared" si="1"/>
        <v>144383.76157171</v>
      </c>
    </row>
    <row r="13" s="2" customFormat="1" spans="1:8">
      <c r="A13" s="4" t="s">
        <v>19</v>
      </c>
      <c r="B13" s="4" t="s">
        <v>8</v>
      </c>
      <c r="C13" s="4">
        <v>60</v>
      </c>
      <c r="D13" s="5">
        <v>395.906696522917</v>
      </c>
      <c r="E13" s="5">
        <v>362.854954414089</v>
      </c>
      <c r="F13" s="5">
        <v>167.281618378867</v>
      </c>
      <c r="G13" s="5">
        <f t="shared" si="0"/>
        <v>1.09108802761753</v>
      </c>
      <c r="H13" s="5">
        <f t="shared" si="1"/>
        <v>208061.124696406</v>
      </c>
    </row>
    <row r="14" s="2" customFormat="1" spans="1:8">
      <c r="A14" s="4" t="s">
        <v>20</v>
      </c>
      <c r="B14" s="4" t="s">
        <v>8</v>
      </c>
      <c r="C14" s="4">
        <v>90</v>
      </c>
      <c r="D14" s="5">
        <v>430.101449317764</v>
      </c>
      <c r="E14" s="5">
        <v>430.25512658095</v>
      </c>
      <c r="F14" s="5">
        <v>141.601082432432</v>
      </c>
      <c r="G14" s="5">
        <f t="shared" si="0"/>
        <v>0.999642822935296</v>
      </c>
      <c r="H14" s="5">
        <f t="shared" si="1"/>
        <v>191331.88575861</v>
      </c>
    </row>
    <row r="15" s="2" customFormat="1" spans="1:8">
      <c r="A15" s="4" t="s">
        <v>21</v>
      </c>
      <c r="B15" s="4" t="s">
        <v>8</v>
      </c>
      <c r="C15" s="4">
        <v>90</v>
      </c>
      <c r="D15" s="5">
        <v>322.434630369406</v>
      </c>
      <c r="E15" s="5">
        <v>311.821491913332</v>
      </c>
      <c r="F15" s="5">
        <v>130.423431695477</v>
      </c>
      <c r="G15" s="5">
        <f t="shared" si="0"/>
        <v>1.03403594277916</v>
      </c>
      <c r="H15" s="5">
        <f t="shared" si="1"/>
        <v>132113.493220124</v>
      </c>
    </row>
    <row r="16" s="2" customFormat="1" spans="1:8">
      <c r="A16" s="4" t="s">
        <v>22</v>
      </c>
      <c r="B16" s="4" t="s">
        <v>8</v>
      </c>
      <c r="C16" s="4">
        <v>90</v>
      </c>
      <c r="D16" s="5">
        <v>368.54478285801</v>
      </c>
      <c r="E16" s="5">
        <v>323.782974868528</v>
      </c>
      <c r="F16" s="5">
        <v>141.247585275081</v>
      </c>
      <c r="G16" s="5">
        <f t="shared" si="0"/>
        <v>1.13824632999205</v>
      </c>
      <c r="H16" s="5">
        <f t="shared" si="1"/>
        <v>163538.937695344</v>
      </c>
    </row>
    <row r="17" s="2" customFormat="1" spans="1:8">
      <c r="A17" s="4" t="s">
        <v>23</v>
      </c>
      <c r="B17" s="4" t="s">
        <v>8</v>
      </c>
      <c r="C17" s="4">
        <v>90</v>
      </c>
      <c r="D17" s="5">
        <v>267.952992747002</v>
      </c>
      <c r="E17" s="5">
        <v>336.094999328955</v>
      </c>
      <c r="F17" s="5">
        <v>125.28350391205</v>
      </c>
      <c r="G17" s="5">
        <f t="shared" si="0"/>
        <v>0.797253732670808</v>
      </c>
      <c r="H17" s="5">
        <f t="shared" si="1"/>
        <v>105463.547543356</v>
      </c>
    </row>
    <row r="18" s="2" customFormat="1" spans="1:8">
      <c r="A18" s="4" t="s">
        <v>24</v>
      </c>
      <c r="B18" s="4" t="s">
        <v>8</v>
      </c>
      <c r="C18" s="4">
        <v>90</v>
      </c>
      <c r="D18" s="5">
        <v>440.44737223301</v>
      </c>
      <c r="E18" s="5">
        <v>328.844577135922</v>
      </c>
      <c r="F18" s="5">
        <v>157.168009854369</v>
      </c>
      <c r="G18" s="5">
        <f t="shared" si="0"/>
        <v>1.33937854797271</v>
      </c>
      <c r="H18" s="5">
        <f t="shared" si="1"/>
        <v>217474.354219331</v>
      </c>
    </row>
    <row r="19" s="2" customFormat="1" spans="1:8">
      <c r="A19" s="4" t="s">
        <v>25</v>
      </c>
      <c r="B19" s="4" t="s">
        <v>8</v>
      </c>
      <c r="C19" s="4">
        <v>90</v>
      </c>
      <c r="D19" s="5">
        <v>475.150489261189</v>
      </c>
      <c r="E19" s="5">
        <v>325.754292564528</v>
      </c>
      <c r="F19" s="5">
        <v>157.630912798958</v>
      </c>
      <c r="G19" s="5">
        <f t="shared" si="0"/>
        <v>1.4586162027844</v>
      </c>
      <c r="H19" s="5">
        <f t="shared" si="1"/>
        <v>235300.279978947</v>
      </c>
    </row>
    <row r="20" s="2" customFormat="1" spans="1:8">
      <c r="A20" s="4" t="s">
        <v>26</v>
      </c>
      <c r="B20" s="4" t="s">
        <v>8</v>
      </c>
      <c r="C20" s="4">
        <v>150</v>
      </c>
      <c r="D20" s="5">
        <v>478.757223831565</v>
      </c>
      <c r="E20" s="5">
        <v>397.277138078573</v>
      </c>
      <c r="F20" s="5">
        <v>195.829240336419</v>
      </c>
      <c r="G20" s="5">
        <f t="shared" si="0"/>
        <v>1.20509633689739</v>
      </c>
      <c r="H20" s="5">
        <f t="shared" si="1"/>
        <v>294538.961929617</v>
      </c>
    </row>
    <row r="21" s="2" customFormat="1" spans="1:8">
      <c r="A21" s="4" t="s">
        <v>27</v>
      </c>
      <c r="B21" s="4" t="s">
        <v>8</v>
      </c>
      <c r="C21" s="4">
        <v>150</v>
      </c>
      <c r="D21" s="5">
        <v>530.770322097492</v>
      </c>
      <c r="E21" s="5">
        <v>378.546886245955</v>
      </c>
      <c r="F21" s="5">
        <v>182.019643133091</v>
      </c>
      <c r="G21" s="5">
        <f t="shared" si="0"/>
        <v>1.40212571119296</v>
      </c>
      <c r="H21" s="5">
        <f t="shared" si="1"/>
        <v>303511.228545502</v>
      </c>
    </row>
    <row r="22" s="2" customFormat="1" spans="1:8">
      <c r="A22" s="4" t="s">
        <v>28</v>
      </c>
      <c r="B22" s="4" t="s">
        <v>8</v>
      </c>
      <c r="C22" s="4">
        <v>150</v>
      </c>
      <c r="D22" s="5">
        <v>431.532087098166</v>
      </c>
      <c r="E22" s="5">
        <v>348.393583009709</v>
      </c>
      <c r="F22" s="5">
        <v>173.401841024811</v>
      </c>
      <c r="G22" s="5">
        <f t="shared" si="0"/>
        <v>1.23863385591158</v>
      </c>
      <c r="H22" s="5">
        <f t="shared" si="1"/>
        <v>235080.53507611</v>
      </c>
    </row>
    <row r="23" s="2" customFormat="1" spans="1:8">
      <c r="A23" s="4" t="s">
        <v>29</v>
      </c>
      <c r="B23" s="4" t="s">
        <v>8</v>
      </c>
      <c r="C23" s="4">
        <v>150</v>
      </c>
      <c r="D23" s="5">
        <v>466.630175793755</v>
      </c>
      <c r="E23" s="5">
        <v>316.397702164786</v>
      </c>
      <c r="F23" s="5">
        <v>169.601209223301</v>
      </c>
      <c r="G23" s="5">
        <f t="shared" si="0"/>
        <v>1.47482163303046</v>
      </c>
      <c r="H23" s="5">
        <f t="shared" si="1"/>
        <v>248628.916379326</v>
      </c>
    </row>
    <row r="24" s="2" customFormat="1" spans="1:8">
      <c r="A24" s="4" t="s">
        <v>30</v>
      </c>
      <c r="B24" s="4" t="s">
        <v>8</v>
      </c>
      <c r="C24" s="4">
        <v>150</v>
      </c>
      <c r="D24" s="5">
        <v>463.017328256943</v>
      </c>
      <c r="E24" s="5">
        <v>380.352966121021</v>
      </c>
      <c r="F24" s="5">
        <v>167.030184612779</v>
      </c>
      <c r="G24" s="5">
        <f t="shared" si="0"/>
        <v>1.21733592083943</v>
      </c>
      <c r="H24" s="5">
        <f t="shared" si="1"/>
        <v>242964.083663485</v>
      </c>
    </row>
    <row r="25" s="2" customFormat="1" spans="1:8">
      <c r="A25" s="4" t="s">
        <v>31</v>
      </c>
      <c r="B25" s="4" t="s">
        <v>8</v>
      </c>
      <c r="C25" s="4">
        <v>150</v>
      </c>
      <c r="D25" s="5">
        <v>416.602795527046</v>
      </c>
      <c r="E25" s="5">
        <v>430.839710679612</v>
      </c>
      <c r="F25" s="5">
        <v>158.358924953768</v>
      </c>
      <c r="G25" s="5">
        <f t="shared" si="0"/>
        <v>0.966955424953497</v>
      </c>
      <c r="H25" s="5">
        <f t="shared" si="1"/>
        <v>207259.572184023</v>
      </c>
    </row>
    <row r="26" s="2" customFormat="1" spans="1:8">
      <c r="A26" s="4" t="s">
        <v>32</v>
      </c>
      <c r="B26" s="4" t="s">
        <v>8</v>
      </c>
      <c r="C26" s="4">
        <v>210</v>
      </c>
      <c r="D26" s="5">
        <v>504.687621402056</v>
      </c>
      <c r="E26" s="5">
        <v>375.470236165049</v>
      </c>
      <c r="F26" s="5">
        <v>204.595512649914</v>
      </c>
      <c r="G26" s="5">
        <f t="shared" si="0"/>
        <v>1.34414814488839</v>
      </c>
      <c r="H26" s="5">
        <f t="shared" si="1"/>
        <v>324390.875403723</v>
      </c>
    </row>
    <row r="27" s="2" customFormat="1" spans="1:8">
      <c r="A27" s="4" t="s">
        <v>33</v>
      </c>
      <c r="B27" s="4" t="s">
        <v>8</v>
      </c>
      <c r="C27" s="4">
        <v>210</v>
      </c>
      <c r="D27" s="5">
        <v>439.615048404993</v>
      </c>
      <c r="E27" s="5">
        <v>377.576148682386</v>
      </c>
      <c r="F27" s="5">
        <v>192.416481289875</v>
      </c>
      <c r="G27" s="5">
        <f t="shared" si="0"/>
        <v>1.16430831221491</v>
      </c>
      <c r="H27" s="5">
        <f t="shared" si="1"/>
        <v>265744.748773921</v>
      </c>
    </row>
    <row r="28" s="2" customFormat="1" spans="1:8">
      <c r="A28" s="4" t="s">
        <v>34</v>
      </c>
      <c r="B28" s="4" t="s">
        <v>8</v>
      </c>
      <c r="C28" s="4">
        <v>210</v>
      </c>
      <c r="D28" s="5">
        <v>574.867542436216</v>
      </c>
      <c r="E28" s="5">
        <v>379.945521607586</v>
      </c>
      <c r="F28" s="5">
        <v>158.830405384963</v>
      </c>
      <c r="G28" s="5">
        <f t="shared" si="0"/>
        <v>1.51302623598219</v>
      </c>
      <c r="H28" s="5">
        <f t="shared" si="1"/>
        <v>286847.656233591</v>
      </c>
    </row>
    <row r="29" s="2" customFormat="1" spans="1:8">
      <c r="A29" s="4" t="s">
        <v>35</v>
      </c>
      <c r="B29" s="4" t="s">
        <v>8</v>
      </c>
      <c r="C29" s="4">
        <v>210</v>
      </c>
      <c r="D29" s="5">
        <v>533.706902823199</v>
      </c>
      <c r="E29" s="5">
        <v>405.53619741952</v>
      </c>
      <c r="F29" s="5">
        <v>180.309085743485</v>
      </c>
      <c r="G29" s="5">
        <f t="shared" si="0"/>
        <v>1.31605244172837</v>
      </c>
      <c r="H29" s="5">
        <f t="shared" si="1"/>
        <v>302322.384192221</v>
      </c>
    </row>
    <row r="30" s="2" customFormat="1" spans="1:8">
      <c r="A30" s="4" t="s">
        <v>36</v>
      </c>
      <c r="B30" s="4" t="s">
        <v>8</v>
      </c>
      <c r="C30" s="4">
        <v>210</v>
      </c>
      <c r="D30" s="5">
        <v>527.488990746359</v>
      </c>
      <c r="E30" s="5">
        <v>388.175051380461</v>
      </c>
      <c r="F30" s="5">
        <v>195.97596565534</v>
      </c>
      <c r="G30" s="5">
        <f t="shared" si="0"/>
        <v>1.3588946246557</v>
      </c>
      <c r="H30" s="5">
        <f t="shared" si="1"/>
        <v>324762.656835578</v>
      </c>
    </row>
    <row r="31" s="2" customFormat="1" spans="1:8">
      <c r="A31" s="4" t="s">
        <v>37</v>
      </c>
      <c r="B31" s="4" t="s">
        <v>8</v>
      </c>
      <c r="C31" s="4">
        <v>210</v>
      </c>
      <c r="D31" s="5">
        <v>438.713639667129</v>
      </c>
      <c r="E31" s="5">
        <v>318.926038735883</v>
      </c>
      <c r="F31" s="5">
        <v>175.635574806816</v>
      </c>
      <c r="G31" s="5">
        <f t="shared" si="0"/>
        <v>1.37559680421845</v>
      </c>
      <c r="H31" s="5">
        <f t="shared" si="1"/>
        <v>242071.407841967</v>
      </c>
    </row>
    <row r="32" s="2" customFormat="1" spans="1:8">
      <c r="A32" s="4" t="s">
        <v>38</v>
      </c>
      <c r="B32" s="4" t="s">
        <v>8</v>
      </c>
      <c r="C32" s="4">
        <v>300</v>
      </c>
      <c r="D32" s="5">
        <v>223.361621653293</v>
      </c>
      <c r="E32" s="5">
        <v>105.543805755939</v>
      </c>
      <c r="F32" s="5">
        <v>63.9011176507508</v>
      </c>
      <c r="G32" s="5">
        <v>2.37663644519923</v>
      </c>
      <c r="H32" s="5">
        <v>44502.5590652989</v>
      </c>
    </row>
    <row r="33" s="2" customFormat="1" spans="1:8">
      <c r="A33" s="4" t="s">
        <v>39</v>
      </c>
      <c r="B33" s="4" t="s">
        <v>8</v>
      </c>
      <c r="C33" s="4">
        <v>300</v>
      </c>
      <c r="D33" s="5">
        <v>457.339719981796</v>
      </c>
      <c r="E33" s="5">
        <v>386.120115203001</v>
      </c>
      <c r="F33" s="5">
        <v>148.329968965137</v>
      </c>
      <c r="G33" s="5">
        <f t="shared" ref="G33:G71" si="2">D33/E33</f>
        <v>1.18444935131481</v>
      </c>
      <c r="H33" s="5">
        <f t="shared" ref="H33:H71" si="3">D33*F33*PI()</f>
        <v>213116.806658827</v>
      </c>
    </row>
    <row r="34" s="2" customFormat="1" spans="1:8">
      <c r="A34" s="4" t="s">
        <v>40</v>
      </c>
      <c r="B34" s="4" t="s">
        <v>8</v>
      </c>
      <c r="C34" s="4">
        <v>300</v>
      </c>
      <c r="D34" s="5">
        <v>449.735482965578</v>
      </c>
      <c r="E34" s="5">
        <v>310.011936098853</v>
      </c>
      <c r="F34" s="5">
        <v>136.839223712857</v>
      </c>
      <c r="G34" s="5">
        <f t="shared" si="2"/>
        <v>1.45070376523235</v>
      </c>
      <c r="H34" s="5">
        <f t="shared" si="3"/>
        <v>193338.180924744</v>
      </c>
    </row>
    <row r="35" s="2" customFormat="1" spans="1:8">
      <c r="A35" s="4" t="s">
        <v>42</v>
      </c>
      <c r="B35" s="4" t="s">
        <v>8</v>
      </c>
      <c r="C35" s="4">
        <v>300</v>
      </c>
      <c r="D35" s="5">
        <v>351.433853070916</v>
      </c>
      <c r="E35" s="5">
        <v>325.472663349515</v>
      </c>
      <c r="F35" s="5">
        <v>150.612590154073</v>
      </c>
      <c r="G35" s="5">
        <f t="shared" si="2"/>
        <v>1.07976457824208</v>
      </c>
      <c r="H35" s="5">
        <f t="shared" si="3"/>
        <v>166285.639171995</v>
      </c>
    </row>
    <row r="36" s="2" customFormat="1" spans="1:8">
      <c r="A36" s="4" t="s">
        <v>43</v>
      </c>
      <c r="B36" s="4" t="s">
        <v>8</v>
      </c>
      <c r="C36" s="4">
        <v>300</v>
      </c>
      <c r="D36" s="5">
        <v>402.53495185853</v>
      </c>
      <c r="E36" s="5">
        <v>335.116516269071</v>
      </c>
      <c r="F36" s="5">
        <v>165.919408710125</v>
      </c>
      <c r="G36" s="5">
        <f t="shared" si="2"/>
        <v>1.20117908941058</v>
      </c>
      <c r="H36" s="5">
        <f t="shared" si="3"/>
        <v>209821.824883449</v>
      </c>
    </row>
    <row r="37" s="2" customFormat="1" spans="1:8">
      <c r="A37" s="4" t="s">
        <v>44</v>
      </c>
      <c r="B37" s="4" t="s">
        <v>45</v>
      </c>
      <c r="C37" s="4">
        <v>30</v>
      </c>
      <c r="D37" s="5">
        <v>278.960375217824</v>
      </c>
      <c r="E37" s="5">
        <v>338.345652999751</v>
      </c>
      <c r="F37" s="5">
        <v>125.503708289768</v>
      </c>
      <c r="G37" s="5">
        <f t="shared" si="2"/>
        <v>0.824483402534004</v>
      </c>
      <c r="H37" s="5">
        <f t="shared" si="3"/>
        <v>109988.922981572</v>
      </c>
    </row>
    <row r="38" s="2" customFormat="1" spans="1:8">
      <c r="A38" s="4" t="s">
        <v>47</v>
      </c>
      <c r="B38" s="4" t="s">
        <v>45</v>
      </c>
      <c r="C38" s="4">
        <v>30</v>
      </c>
      <c r="D38" s="5">
        <v>269.086153794333</v>
      </c>
      <c r="E38" s="5">
        <v>312.030561927878</v>
      </c>
      <c r="F38" s="5">
        <v>134.154594699822</v>
      </c>
      <c r="G38" s="5">
        <f t="shared" si="2"/>
        <v>0.862371147658699</v>
      </c>
      <c r="H38" s="5">
        <f t="shared" si="3"/>
        <v>113408.805282187</v>
      </c>
    </row>
    <row r="39" s="2" customFormat="1" spans="1:8">
      <c r="A39" s="4" t="s">
        <v>48</v>
      </c>
      <c r="B39" s="4" t="s">
        <v>45</v>
      </c>
      <c r="C39" s="4">
        <v>30</v>
      </c>
      <c r="D39" s="5">
        <v>281.757803863681</v>
      </c>
      <c r="E39" s="5">
        <v>328.637344907866</v>
      </c>
      <c r="F39" s="5">
        <v>139.587087923519</v>
      </c>
      <c r="G39" s="5">
        <f t="shared" si="2"/>
        <v>0.857351753321499</v>
      </c>
      <c r="H39" s="5">
        <f t="shared" si="3"/>
        <v>123558.057880579</v>
      </c>
    </row>
    <row r="40" s="2" customFormat="1" spans="1:8">
      <c r="A40" s="4" t="s">
        <v>49</v>
      </c>
      <c r="B40" s="4" t="s">
        <v>45</v>
      </c>
      <c r="C40" s="4">
        <v>30</v>
      </c>
      <c r="D40" s="5">
        <v>242.090697862211</v>
      </c>
      <c r="E40" s="5">
        <v>337.372430153099</v>
      </c>
      <c r="F40" s="5">
        <v>126.688668054518</v>
      </c>
      <c r="G40" s="5">
        <f t="shared" si="2"/>
        <v>0.717577004595042</v>
      </c>
      <c r="H40" s="5">
        <f t="shared" si="3"/>
        <v>96353.1118315422</v>
      </c>
    </row>
    <row r="41" s="2" customFormat="1" spans="1:8">
      <c r="A41" s="4" t="s">
        <v>50</v>
      </c>
      <c r="B41" s="4" t="s">
        <v>45</v>
      </c>
      <c r="C41" s="4">
        <v>30</v>
      </c>
      <c r="D41" s="5">
        <v>233.129376227077</v>
      </c>
      <c r="E41" s="5">
        <v>315.360724555016</v>
      </c>
      <c r="F41" s="5">
        <v>126.766947788565</v>
      </c>
      <c r="G41" s="5">
        <f t="shared" si="2"/>
        <v>0.7392467040911</v>
      </c>
      <c r="H41" s="5">
        <f t="shared" si="3"/>
        <v>92843.8001674091</v>
      </c>
    </row>
    <row r="42" s="2" customFormat="1" spans="1:8">
      <c r="A42" s="4" t="s">
        <v>51</v>
      </c>
      <c r="B42" s="4" t="s">
        <v>45</v>
      </c>
      <c r="C42" s="4">
        <v>60</v>
      </c>
      <c r="D42" s="5">
        <v>289.759952405609</v>
      </c>
      <c r="E42" s="5">
        <v>343.840576299892</v>
      </c>
      <c r="F42" s="5">
        <v>156.338151877023</v>
      </c>
      <c r="G42" s="5">
        <f t="shared" si="2"/>
        <v>0.842715992172155</v>
      </c>
      <c r="H42" s="5">
        <f t="shared" si="3"/>
        <v>142315.82936419</v>
      </c>
    </row>
    <row r="43" s="2" customFormat="1" spans="1:8">
      <c r="A43" s="4" t="s">
        <v>52</v>
      </c>
      <c r="B43" s="4" t="s">
        <v>45</v>
      </c>
      <c r="C43" s="4">
        <v>60</v>
      </c>
      <c r="D43" s="5">
        <v>359.327111402373</v>
      </c>
      <c r="E43" s="5">
        <v>299.971832308522</v>
      </c>
      <c r="F43" s="5">
        <v>160.02391399137</v>
      </c>
      <c r="G43" s="5">
        <f t="shared" si="2"/>
        <v>1.19786950873709</v>
      </c>
      <c r="H43" s="5">
        <f t="shared" si="3"/>
        <v>180644.501681044</v>
      </c>
    </row>
    <row r="44" s="2" customFormat="1" spans="1:8">
      <c r="A44" s="4" t="s">
        <v>53</v>
      </c>
      <c r="B44" s="4" t="s">
        <v>45</v>
      </c>
      <c r="C44" s="4">
        <v>60</v>
      </c>
      <c r="D44" s="5">
        <v>356.321232732316</v>
      </c>
      <c r="E44" s="5">
        <v>372.696636419325</v>
      </c>
      <c r="F44" s="5">
        <v>165.060994093851</v>
      </c>
      <c r="G44" s="5">
        <f t="shared" si="2"/>
        <v>0.956062378656445</v>
      </c>
      <c r="H44" s="5">
        <f t="shared" si="3"/>
        <v>184771.945341287</v>
      </c>
    </row>
    <row r="45" s="2" customFormat="1" spans="1:8">
      <c r="A45" s="4" t="s">
        <v>54</v>
      </c>
      <c r="B45" s="4" t="s">
        <v>45</v>
      </c>
      <c r="C45" s="4">
        <v>60</v>
      </c>
      <c r="D45" s="5">
        <v>318.690720264408</v>
      </c>
      <c r="E45" s="5">
        <v>293.493081491427</v>
      </c>
      <c r="F45" s="5">
        <v>162.193244463954</v>
      </c>
      <c r="G45" s="5">
        <f t="shared" si="2"/>
        <v>1.08585428537169</v>
      </c>
      <c r="H45" s="5">
        <f t="shared" si="3"/>
        <v>162387.296605652</v>
      </c>
    </row>
    <row r="46" s="2" customFormat="1" spans="1:8">
      <c r="A46" s="4" t="s">
        <v>55</v>
      </c>
      <c r="B46" s="4" t="s">
        <v>45</v>
      </c>
      <c r="C46" s="4">
        <v>60</v>
      </c>
      <c r="D46" s="5">
        <v>382.684482288113</v>
      </c>
      <c r="E46" s="5">
        <v>324.319886053529</v>
      </c>
      <c r="F46" s="5">
        <v>164.054643007085</v>
      </c>
      <c r="G46" s="5">
        <f t="shared" si="2"/>
        <v>1.1799599677491</v>
      </c>
      <c r="H46" s="5">
        <f t="shared" si="3"/>
        <v>197232.850285643</v>
      </c>
    </row>
    <row r="47" s="2" customFormat="1" spans="1:8">
      <c r="A47" s="4" t="s">
        <v>56</v>
      </c>
      <c r="B47" s="4" t="s">
        <v>45</v>
      </c>
      <c r="C47" s="4">
        <v>60</v>
      </c>
      <c r="D47" s="5">
        <v>316.117057535304</v>
      </c>
      <c r="E47" s="5">
        <v>332.21266021624</v>
      </c>
      <c r="F47" s="5">
        <v>156.280247054281</v>
      </c>
      <c r="G47" s="5">
        <f t="shared" si="2"/>
        <v>0.951550303138781</v>
      </c>
      <c r="H47" s="5">
        <f t="shared" si="3"/>
        <v>155203.63643737</v>
      </c>
    </row>
    <row r="48" s="2" customFormat="1" spans="1:8">
      <c r="A48" s="4" t="s">
        <v>57</v>
      </c>
      <c r="B48" s="4" t="s">
        <v>45</v>
      </c>
      <c r="C48" s="4">
        <v>90</v>
      </c>
      <c r="D48" s="5">
        <v>251.67062753843</v>
      </c>
      <c r="E48" s="5">
        <v>310.104119781553</v>
      </c>
      <c r="F48" s="5">
        <v>194.088819043285</v>
      </c>
      <c r="G48" s="5">
        <f t="shared" si="2"/>
        <v>0.811568152386091</v>
      </c>
      <c r="H48" s="5">
        <f t="shared" si="3"/>
        <v>153455.663826327</v>
      </c>
    </row>
    <row r="49" s="2" customFormat="1" spans="1:8">
      <c r="A49" s="4" t="s">
        <v>58</v>
      </c>
      <c r="B49" s="4" t="s">
        <v>45</v>
      </c>
      <c r="C49" s="4">
        <v>90</v>
      </c>
      <c r="D49" s="5">
        <v>306.301261476226</v>
      </c>
      <c r="E49" s="5">
        <v>404.953550037341</v>
      </c>
      <c r="F49" s="5">
        <v>170.435544834454</v>
      </c>
      <c r="G49" s="5">
        <f t="shared" si="2"/>
        <v>0.756386161938775</v>
      </c>
      <c r="H49" s="5">
        <f t="shared" si="3"/>
        <v>164005.658162431</v>
      </c>
    </row>
    <row r="50" s="2" customFormat="1" spans="1:8">
      <c r="A50" s="4" t="s">
        <v>59</v>
      </c>
      <c r="B50" s="4" t="s">
        <v>45</v>
      </c>
      <c r="C50" s="4">
        <v>90</v>
      </c>
      <c r="D50" s="5">
        <v>290.513687864078</v>
      </c>
      <c r="E50" s="5">
        <v>337.771452049622</v>
      </c>
      <c r="F50" s="5">
        <v>170.647722599784</v>
      </c>
      <c r="G50" s="5">
        <f t="shared" si="2"/>
        <v>0.860089525332054</v>
      </c>
      <c r="H50" s="5">
        <f t="shared" si="3"/>
        <v>155746.024141533</v>
      </c>
    </row>
    <row r="51" s="2" customFormat="1" spans="1:8">
      <c r="A51" s="4" t="s">
        <v>60</v>
      </c>
      <c r="B51" s="4" t="s">
        <v>45</v>
      </c>
      <c r="C51" s="4">
        <v>90</v>
      </c>
      <c r="D51" s="5">
        <v>348.280448609885</v>
      </c>
      <c r="E51" s="5">
        <v>316.772288184025</v>
      </c>
      <c r="F51" s="5">
        <v>160.331420531774</v>
      </c>
      <c r="G51" s="5">
        <f t="shared" si="2"/>
        <v>1.09946627783159</v>
      </c>
      <c r="H51" s="5">
        <f t="shared" si="3"/>
        <v>175427.473329636</v>
      </c>
    </row>
    <row r="52" s="2" customFormat="1" spans="1:8">
      <c r="A52" s="4" t="s">
        <v>61</v>
      </c>
      <c r="B52" s="4" t="s">
        <v>45</v>
      </c>
      <c r="C52" s="4">
        <v>90</v>
      </c>
      <c r="D52" s="5">
        <v>308.117681577078</v>
      </c>
      <c r="E52" s="5">
        <v>356.307832725551</v>
      </c>
      <c r="F52" s="5">
        <v>141.368907719631</v>
      </c>
      <c r="G52" s="5">
        <f t="shared" si="2"/>
        <v>0.86475135620835</v>
      </c>
      <c r="H52" s="5">
        <f t="shared" si="3"/>
        <v>136842.309913385</v>
      </c>
    </row>
    <row r="53" s="2" customFormat="1" spans="1:8">
      <c r="A53" s="4" t="s">
        <v>62</v>
      </c>
      <c r="B53" s="4" t="s">
        <v>45</v>
      </c>
      <c r="C53" s="4">
        <v>90</v>
      </c>
      <c r="D53" s="5">
        <v>326.365730550865</v>
      </c>
      <c r="E53" s="5">
        <v>354.559548712537</v>
      </c>
      <c r="F53" s="5">
        <v>167.521373079358</v>
      </c>
      <c r="G53" s="5">
        <f t="shared" si="2"/>
        <v>0.920482135471888</v>
      </c>
      <c r="H53" s="5">
        <f t="shared" si="3"/>
        <v>171761.034391375</v>
      </c>
    </row>
    <row r="54" s="2" customFormat="1" spans="1:8">
      <c r="A54" s="4" t="s">
        <v>63</v>
      </c>
      <c r="B54" s="4" t="s">
        <v>45</v>
      </c>
      <c r="C54" s="4">
        <v>150</v>
      </c>
      <c r="D54" s="5">
        <v>339.89856252229</v>
      </c>
      <c r="E54" s="5">
        <v>404.377081553398</v>
      </c>
      <c r="F54" s="5">
        <v>168.973096403804</v>
      </c>
      <c r="G54" s="5">
        <f t="shared" si="2"/>
        <v>0.840548532613628</v>
      </c>
      <c r="H54" s="5">
        <f t="shared" si="3"/>
        <v>180433.329486447</v>
      </c>
    </row>
    <row r="55" s="2" customFormat="1" spans="1:8">
      <c r="A55" s="4" t="s">
        <v>64</v>
      </c>
      <c r="B55" s="4" t="s">
        <v>45</v>
      </c>
      <c r="C55" s="4">
        <v>150</v>
      </c>
      <c r="D55" s="5">
        <v>501.030341110437</v>
      </c>
      <c r="E55" s="5">
        <v>419.223260447006</v>
      </c>
      <c r="F55" s="5">
        <v>184.032612095469</v>
      </c>
      <c r="G55" s="5">
        <f t="shared" si="2"/>
        <v>1.19513965082997</v>
      </c>
      <c r="H55" s="5">
        <f t="shared" si="3"/>
        <v>289673.448472154</v>
      </c>
    </row>
    <row r="56" s="2" customFormat="1" spans="1:8">
      <c r="A56" s="4" t="s">
        <v>65</v>
      </c>
      <c r="B56" s="4" t="s">
        <v>45</v>
      </c>
      <c r="C56" s="4">
        <v>150</v>
      </c>
      <c r="D56" s="5">
        <v>438.164992718447</v>
      </c>
      <c r="E56" s="5">
        <v>369.813692327729</v>
      </c>
      <c r="F56" s="5">
        <v>190.911956287</v>
      </c>
      <c r="G56" s="5">
        <f t="shared" si="2"/>
        <v>1.18482631067685</v>
      </c>
      <c r="H56" s="5">
        <f t="shared" si="3"/>
        <v>262797.165803572</v>
      </c>
    </row>
    <row r="57" s="2" customFormat="1" spans="1:8">
      <c r="A57" s="4" t="s">
        <v>66</v>
      </c>
      <c r="B57" s="4" t="s">
        <v>45</v>
      </c>
      <c r="C57" s="4">
        <v>150</v>
      </c>
      <c r="D57" s="5">
        <v>444.733027076591</v>
      </c>
      <c r="E57" s="5">
        <v>398.075249393204</v>
      </c>
      <c r="F57" s="5">
        <v>163.654490358684</v>
      </c>
      <c r="G57" s="5">
        <f t="shared" si="2"/>
        <v>1.11720843673278</v>
      </c>
      <c r="H57" s="5">
        <f t="shared" si="3"/>
        <v>228653.146041056</v>
      </c>
    </row>
    <row r="58" s="2" customFormat="1" spans="1:8">
      <c r="A58" s="4" t="s">
        <v>67</v>
      </c>
      <c r="B58" s="4" t="s">
        <v>45</v>
      </c>
      <c r="C58" s="4">
        <v>150</v>
      </c>
      <c r="D58" s="5">
        <v>382.358842801326</v>
      </c>
      <c r="E58" s="5">
        <v>346.82328595785</v>
      </c>
      <c r="F58" s="5">
        <v>182.194243369642</v>
      </c>
      <c r="G58" s="5">
        <f t="shared" si="2"/>
        <v>1.10246012387933</v>
      </c>
      <c r="H58" s="5">
        <f t="shared" si="3"/>
        <v>218854.591338882</v>
      </c>
    </row>
    <row r="59" s="2" customFormat="1" spans="1:8">
      <c r="A59" s="4" t="s">
        <v>68</v>
      </c>
      <c r="B59" s="4" t="s">
        <v>45</v>
      </c>
      <c r="C59" s="4">
        <v>150</v>
      </c>
      <c r="D59" s="5">
        <v>405.630124457453</v>
      </c>
      <c r="E59" s="5">
        <v>351.674517047401</v>
      </c>
      <c r="F59" s="5">
        <v>155.730246944603</v>
      </c>
      <c r="G59" s="5">
        <f t="shared" si="2"/>
        <v>1.15342484255912</v>
      </c>
      <c r="H59" s="5">
        <f t="shared" si="3"/>
        <v>198450.887615397</v>
      </c>
    </row>
    <row r="60" s="2" customFormat="1" spans="1:8">
      <c r="A60" s="4" t="s">
        <v>69</v>
      </c>
      <c r="B60" s="4" t="s">
        <v>45</v>
      </c>
      <c r="C60" s="4">
        <v>210</v>
      </c>
      <c r="D60" s="5">
        <v>484.549697994379</v>
      </c>
      <c r="E60" s="5">
        <v>386.700558277977</v>
      </c>
      <c r="F60" s="5">
        <v>184.498045145631</v>
      </c>
      <c r="G60" s="5">
        <f t="shared" si="2"/>
        <v>1.25303594117406</v>
      </c>
      <c r="H60" s="5">
        <f t="shared" si="3"/>
        <v>280853.58305287</v>
      </c>
    </row>
    <row r="61" s="2" customFormat="1" spans="1:8">
      <c r="A61" s="4" t="s">
        <v>70</v>
      </c>
      <c r="B61" s="4" t="s">
        <v>45</v>
      </c>
      <c r="C61" s="4">
        <v>210</v>
      </c>
      <c r="D61" s="5">
        <v>418.443392532839</v>
      </c>
      <c r="E61" s="5">
        <v>432.35867184466</v>
      </c>
      <c r="F61" s="5">
        <v>199.71274480297</v>
      </c>
      <c r="G61" s="5">
        <f t="shared" si="2"/>
        <v>0.967815426825021</v>
      </c>
      <c r="H61" s="5">
        <f t="shared" si="3"/>
        <v>262538.11802486</v>
      </c>
    </row>
    <row r="62" s="2" customFormat="1" spans="1:8">
      <c r="A62" s="4" t="s">
        <v>71</v>
      </c>
      <c r="B62" s="4" t="s">
        <v>45</v>
      </c>
      <c r="C62" s="4">
        <v>210</v>
      </c>
      <c r="D62" s="5">
        <v>403.33884339059</v>
      </c>
      <c r="E62" s="5">
        <v>454.57808639532</v>
      </c>
      <c r="F62" s="5">
        <v>166.925207244212</v>
      </c>
      <c r="G62" s="5">
        <f t="shared" si="2"/>
        <v>0.887281757440084</v>
      </c>
      <c r="H62" s="5">
        <f t="shared" si="3"/>
        <v>211515.328128202</v>
      </c>
    </row>
    <row r="63" s="2" customFormat="1" spans="1:8">
      <c r="A63" s="4" t="s">
        <v>72</v>
      </c>
      <c r="B63" s="4" t="s">
        <v>45</v>
      </c>
      <c r="C63" s="4">
        <v>210</v>
      </c>
      <c r="D63" s="5">
        <v>432.231986496028</v>
      </c>
      <c r="E63" s="5">
        <v>413.010550772286</v>
      </c>
      <c r="F63" s="5">
        <v>196.305929159312</v>
      </c>
      <c r="G63" s="5">
        <f t="shared" si="2"/>
        <v>1.04653981765793</v>
      </c>
      <c r="H63" s="5">
        <f t="shared" si="3"/>
        <v>266563.19958748</v>
      </c>
    </row>
    <row r="64" s="2" customFormat="1" spans="1:8">
      <c r="A64" s="4" t="s">
        <v>73</v>
      </c>
      <c r="B64" s="4" t="s">
        <v>45</v>
      </c>
      <c r="C64" s="4">
        <v>210</v>
      </c>
      <c r="D64" s="5">
        <v>417.245147994379</v>
      </c>
      <c r="E64" s="5">
        <v>354.466158584568</v>
      </c>
      <c r="F64" s="5">
        <v>149.041051622381</v>
      </c>
      <c r="G64" s="5">
        <f t="shared" si="2"/>
        <v>1.17710855575183</v>
      </c>
      <c r="H64" s="5">
        <f t="shared" si="3"/>
        <v>195365.140514398</v>
      </c>
    </row>
    <row r="65" s="2" customFormat="1" spans="1:8">
      <c r="A65" s="4" t="s">
        <v>74</v>
      </c>
      <c r="B65" s="4" t="s">
        <v>45</v>
      </c>
      <c r="C65" s="4">
        <v>210</v>
      </c>
      <c r="D65" s="5">
        <v>436.972148932039</v>
      </c>
      <c r="E65" s="5">
        <v>396.092191067961</v>
      </c>
      <c r="F65" s="5">
        <v>166.692157839806</v>
      </c>
      <c r="G65" s="5">
        <f t="shared" si="2"/>
        <v>1.1032081893709</v>
      </c>
      <c r="H65" s="5">
        <f t="shared" si="3"/>
        <v>228833.076140529</v>
      </c>
    </row>
    <row r="66" s="2" customFormat="1" spans="1:8">
      <c r="A66" s="4" t="s">
        <v>75</v>
      </c>
      <c r="B66" s="4" t="s">
        <v>45</v>
      </c>
      <c r="C66" s="4">
        <v>300</v>
      </c>
      <c r="D66" s="5">
        <v>347.882081435716</v>
      </c>
      <c r="E66" s="5">
        <v>402.036870226537</v>
      </c>
      <c r="F66" s="5">
        <v>230.588298278906</v>
      </c>
      <c r="G66" s="5">
        <f t="shared" si="2"/>
        <v>0.865298949421464</v>
      </c>
      <c r="H66" s="5">
        <f t="shared" si="3"/>
        <v>252010.825430877</v>
      </c>
    </row>
    <row r="67" s="2" customFormat="1" spans="1:8">
      <c r="A67" s="4" t="s">
        <v>76</v>
      </c>
      <c r="B67" s="4" t="s">
        <v>45</v>
      </c>
      <c r="C67" s="4">
        <v>300</v>
      </c>
      <c r="D67" s="5">
        <v>364.871101806904</v>
      </c>
      <c r="E67" s="5">
        <v>425.907112796656</v>
      </c>
      <c r="F67" s="5">
        <v>191.412041814995</v>
      </c>
      <c r="G67" s="5">
        <f t="shared" si="2"/>
        <v>0.856691731234616</v>
      </c>
      <c r="H67" s="5">
        <f t="shared" si="3"/>
        <v>219411.101029456</v>
      </c>
    </row>
    <row r="68" s="2" customFormat="1" spans="1:8">
      <c r="A68" s="4" t="s">
        <v>77</v>
      </c>
      <c r="B68" s="4" t="s">
        <v>45</v>
      </c>
      <c r="C68" s="4">
        <v>300</v>
      </c>
      <c r="D68" s="5">
        <v>400.540619579288</v>
      </c>
      <c r="E68" s="5">
        <v>381.894619428263</v>
      </c>
      <c r="F68" s="5">
        <v>213.877404649407</v>
      </c>
      <c r="G68" s="5">
        <f t="shared" si="2"/>
        <v>1.04882498784335</v>
      </c>
      <c r="H68" s="5">
        <f t="shared" si="3"/>
        <v>269129.524060148</v>
      </c>
    </row>
    <row r="69" s="2" customFormat="1" spans="1:8">
      <c r="A69" s="4" t="s">
        <v>78</v>
      </c>
      <c r="B69" s="4" t="s">
        <v>45</v>
      </c>
      <c r="C69" s="4">
        <v>300</v>
      </c>
      <c r="D69" s="5">
        <v>327.352298294411</v>
      </c>
      <c r="E69" s="5">
        <v>417.724273222251</v>
      </c>
      <c r="F69" s="5">
        <v>215.064461138809</v>
      </c>
      <c r="G69" s="5">
        <f t="shared" si="2"/>
        <v>0.78365639556752</v>
      </c>
      <c r="H69" s="5">
        <f t="shared" si="3"/>
        <v>221173.921046827</v>
      </c>
    </row>
    <row r="70" s="2" customFormat="1" spans="1:8">
      <c r="A70" s="4" t="s">
        <v>79</v>
      </c>
      <c r="B70" s="4" t="s">
        <v>45</v>
      </c>
      <c r="C70" s="4">
        <v>300</v>
      </c>
      <c r="D70" s="5">
        <v>300.207580898623</v>
      </c>
      <c r="E70" s="5">
        <v>440.037235278844</v>
      </c>
      <c r="F70" s="5">
        <v>186.767537785053</v>
      </c>
      <c r="G70" s="5">
        <f t="shared" si="2"/>
        <v>0.682232222253616</v>
      </c>
      <c r="H70" s="5">
        <f t="shared" si="3"/>
        <v>176146.054968801</v>
      </c>
    </row>
    <row r="71" s="2" customFormat="1" spans="1:8">
      <c r="A71" s="4" t="s">
        <v>80</v>
      </c>
      <c r="B71" s="4" t="s">
        <v>45</v>
      </c>
      <c r="C71" s="4">
        <v>300</v>
      </c>
      <c r="D71" s="5">
        <v>416.184680798274</v>
      </c>
      <c r="E71" s="5">
        <v>473.983129004854</v>
      </c>
      <c r="F71" s="5">
        <v>194.816706256742</v>
      </c>
      <c r="G71" s="5">
        <f t="shared" si="2"/>
        <v>0.878058005296665</v>
      </c>
      <c r="H71" s="5">
        <f t="shared" si="3"/>
        <v>254719.480062954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8"/>
  <sheetViews>
    <sheetView tabSelected="1" topLeftCell="A19" workbookViewId="0">
      <selection activeCell="K34" sqref="K34"/>
    </sheetView>
  </sheetViews>
  <sheetFormatPr defaultColWidth="8.72727272727273" defaultRowHeight="14" outlineLevelCol="7"/>
  <cols>
    <col min="1" max="1" width="8.72727272727273" style="2"/>
    <col min="2" max="2" width="10.6363636363636" style="2" customWidth="1"/>
    <col min="3" max="3" width="8.72727272727273" style="2"/>
    <col min="4" max="4" width="18.2727272727273" style="3" customWidth="1"/>
    <col min="5" max="5" width="15.0909090909091" style="3" customWidth="1"/>
    <col min="6" max="6" width="15.9090909090909" style="3" customWidth="1"/>
    <col min="7" max="7" width="18.2727272727273" style="3" customWidth="1"/>
    <col min="8" max="8" width="20.4545454545455" style="3" customWidth="1"/>
    <col min="9" max="16384" width="8.72727272727273" style="1"/>
  </cols>
  <sheetData>
    <row r="1" s="1" customFormat="1" ht="16" spans="1:8">
      <c r="A1" s="4" t="s">
        <v>0</v>
      </c>
      <c r="B1" s="4" t="s">
        <v>1</v>
      </c>
      <c r="C1" s="4" t="s">
        <v>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</row>
    <row r="2" s="1" customFormat="1" spans="1:8">
      <c r="A2" s="4" t="s">
        <v>7</v>
      </c>
      <c r="B2" s="4" t="s">
        <v>8</v>
      </c>
      <c r="C2" s="4">
        <v>30</v>
      </c>
      <c r="D2" s="5">
        <v>317.3189366</v>
      </c>
      <c r="E2" s="5">
        <v>172.943168</v>
      </c>
      <c r="F2" s="5">
        <v>111.2891133</v>
      </c>
      <c r="G2" s="5">
        <f t="shared" ref="G2:G65" si="0">D2/E2</f>
        <v>1.83481625940841</v>
      </c>
      <c r="H2" s="5">
        <f t="shared" ref="H2:H65" si="1">D2*F2*PI()</f>
        <v>110942.652491549</v>
      </c>
    </row>
    <row r="3" s="1" customFormat="1" spans="1:8">
      <c r="A3" s="4" t="s">
        <v>9</v>
      </c>
      <c r="B3" s="4" t="s">
        <v>8</v>
      </c>
      <c r="C3" s="4">
        <v>30</v>
      </c>
      <c r="D3" s="5">
        <v>261.972932</v>
      </c>
      <c r="E3" s="5">
        <v>160.5429109</v>
      </c>
      <c r="F3" s="5">
        <v>108.1264205</v>
      </c>
      <c r="G3" s="5">
        <f t="shared" si="0"/>
        <v>1.63179383338315</v>
      </c>
      <c r="H3" s="5">
        <f t="shared" si="1"/>
        <v>88989.3673886537</v>
      </c>
    </row>
    <row r="4" s="1" customFormat="1" spans="1:8">
      <c r="A4" s="4" t="s">
        <v>10</v>
      </c>
      <c r="B4" s="4" t="s">
        <v>8</v>
      </c>
      <c r="C4" s="4">
        <v>30</v>
      </c>
      <c r="D4" s="5">
        <v>162.5151384</v>
      </c>
      <c r="E4" s="5">
        <v>250.417505097087</v>
      </c>
      <c r="F4" s="5">
        <v>100.419183360784</v>
      </c>
      <c r="G4" s="5">
        <f t="shared" si="0"/>
        <v>0.648976749197277</v>
      </c>
      <c r="H4" s="5">
        <f t="shared" si="1"/>
        <v>51269.653222363</v>
      </c>
    </row>
    <row r="5" s="1" customFormat="1" spans="1:8">
      <c r="A5" s="4" t="s">
        <v>11</v>
      </c>
      <c r="B5" s="4" t="s">
        <v>8</v>
      </c>
      <c r="C5" s="4">
        <v>30</v>
      </c>
      <c r="D5" s="5">
        <v>300.844773236246</v>
      </c>
      <c r="E5" s="5">
        <v>190.036956666667</v>
      </c>
      <c r="F5" s="5">
        <v>89.7014429045307</v>
      </c>
      <c r="G5" s="5">
        <f t="shared" si="0"/>
        <v>1.58308561930899</v>
      </c>
      <c r="H5" s="5">
        <f t="shared" si="1"/>
        <v>84779.6798683026</v>
      </c>
    </row>
    <row r="6" s="1" customFormat="1" spans="1:8">
      <c r="A6" s="4" t="s">
        <v>12</v>
      </c>
      <c r="B6" s="4" t="s">
        <v>8</v>
      </c>
      <c r="C6" s="4">
        <v>30</v>
      </c>
      <c r="D6" s="5">
        <v>238.653577985437</v>
      </c>
      <c r="E6" s="5">
        <v>227.91118401699</v>
      </c>
      <c r="F6" s="5">
        <v>97.28091625</v>
      </c>
      <c r="G6" s="5">
        <f t="shared" si="0"/>
        <v>1.04713412382451</v>
      </c>
      <c r="H6" s="5">
        <f t="shared" si="1"/>
        <v>72936.5933653694</v>
      </c>
    </row>
    <row r="7" s="1" customFormat="1" spans="1:8">
      <c r="A7" s="4" t="s">
        <v>13</v>
      </c>
      <c r="B7" s="4" t="s">
        <v>8</v>
      </c>
      <c r="C7" s="4">
        <v>30</v>
      </c>
      <c r="D7" s="5">
        <v>290.948661658443</v>
      </c>
      <c r="E7" s="5">
        <v>168.043833391692</v>
      </c>
      <c r="F7" s="5">
        <v>113.370869210568</v>
      </c>
      <c r="G7" s="5">
        <f t="shared" si="0"/>
        <v>1.7313855307042</v>
      </c>
      <c r="H7" s="5">
        <f t="shared" si="1"/>
        <v>103625.756219283</v>
      </c>
    </row>
    <row r="8" s="1" customFormat="1" spans="1:8">
      <c r="A8" s="4" t="s">
        <v>14</v>
      </c>
      <c r="B8" s="4" t="s">
        <v>8</v>
      </c>
      <c r="C8" s="4">
        <v>60</v>
      </c>
      <c r="D8" s="5">
        <v>273.608519354839</v>
      </c>
      <c r="E8" s="5">
        <v>259.11068361259</v>
      </c>
      <c r="F8" s="5">
        <v>125.840078311932</v>
      </c>
      <c r="G8" s="5">
        <f t="shared" si="0"/>
        <v>1.05595228857458</v>
      </c>
      <c r="H8" s="5">
        <f t="shared" si="1"/>
        <v>108167.917481974</v>
      </c>
    </row>
    <row r="9" s="1" customFormat="1" spans="1:8">
      <c r="A9" s="4" t="s">
        <v>15</v>
      </c>
      <c r="B9" s="4" t="s">
        <v>8</v>
      </c>
      <c r="C9" s="4">
        <v>60</v>
      </c>
      <c r="D9" s="5">
        <v>280.291873269652</v>
      </c>
      <c r="E9" s="5">
        <v>180.106337997181</v>
      </c>
      <c r="F9" s="5">
        <v>139.301263513937</v>
      </c>
      <c r="G9" s="5">
        <f t="shared" si="0"/>
        <v>1.55625768857751</v>
      </c>
      <c r="H9" s="5">
        <f t="shared" si="1"/>
        <v>122663.523170017</v>
      </c>
    </row>
    <row r="10" s="1" customFormat="1" spans="1:8">
      <c r="A10" s="4" t="s">
        <v>16</v>
      </c>
      <c r="B10" s="4" t="s">
        <v>8</v>
      </c>
      <c r="C10" s="4">
        <v>60</v>
      </c>
      <c r="D10" s="5">
        <v>202.687747531207</v>
      </c>
      <c r="E10" s="5">
        <v>200.137531435506</v>
      </c>
      <c r="F10" s="5">
        <v>104.33923571914</v>
      </c>
      <c r="G10" s="5">
        <f t="shared" si="0"/>
        <v>1.01274231813198</v>
      </c>
      <c r="H10" s="5">
        <f t="shared" si="1"/>
        <v>66439.295745999</v>
      </c>
    </row>
    <row r="11" s="1" customFormat="1" spans="1:8">
      <c r="A11" s="4" t="s">
        <v>17</v>
      </c>
      <c r="B11" s="4" t="s">
        <v>8</v>
      </c>
      <c r="C11" s="4">
        <v>60</v>
      </c>
      <c r="D11" s="5">
        <v>360.362547845874</v>
      </c>
      <c r="E11" s="5">
        <v>268.572025394417</v>
      </c>
      <c r="F11" s="5">
        <v>147.922677199636</v>
      </c>
      <c r="G11" s="5">
        <f t="shared" si="0"/>
        <v>1.34177246240243</v>
      </c>
      <c r="H11" s="5">
        <f t="shared" si="1"/>
        <v>167465.087179432</v>
      </c>
    </row>
    <row r="12" s="1" customFormat="1" spans="1:8">
      <c r="A12" s="4" t="s">
        <v>18</v>
      </c>
      <c r="B12" s="4" t="s">
        <v>8</v>
      </c>
      <c r="C12" s="4">
        <v>60</v>
      </c>
      <c r="D12" s="5">
        <v>252.843367475728</v>
      </c>
      <c r="E12" s="5">
        <v>196.006486274663</v>
      </c>
      <c r="F12" s="5">
        <v>129.976991199499</v>
      </c>
      <c r="G12" s="5">
        <f t="shared" si="0"/>
        <v>1.28997449156565</v>
      </c>
      <c r="H12" s="5">
        <f t="shared" si="1"/>
        <v>103244.735949762</v>
      </c>
    </row>
    <row r="13" s="1" customFormat="1" spans="1:8">
      <c r="A13" s="4" t="s">
        <v>19</v>
      </c>
      <c r="B13" s="4" t="s">
        <v>8</v>
      </c>
      <c r="C13" s="4">
        <v>60</v>
      </c>
      <c r="D13" s="5">
        <v>347.932452321655</v>
      </c>
      <c r="E13" s="5">
        <v>247.369769508935</v>
      </c>
      <c r="F13" s="5">
        <v>142.059114682707</v>
      </c>
      <c r="G13" s="5">
        <f t="shared" si="0"/>
        <v>1.40652777828249</v>
      </c>
      <c r="H13" s="5">
        <f t="shared" si="1"/>
        <v>155279.425150052</v>
      </c>
    </row>
    <row r="14" s="1" customFormat="1" spans="1:8">
      <c r="A14" s="4" t="s">
        <v>20</v>
      </c>
      <c r="B14" s="4" t="s">
        <v>8</v>
      </c>
      <c r="C14" s="4">
        <v>90</v>
      </c>
      <c r="D14" s="5">
        <v>400.925754951456</v>
      </c>
      <c r="E14" s="5">
        <v>327.324309488085</v>
      </c>
      <c r="F14" s="5">
        <v>171.377923592233</v>
      </c>
      <c r="G14" s="5">
        <f t="shared" si="0"/>
        <v>1.22485786521166</v>
      </c>
      <c r="H14" s="5">
        <f t="shared" si="1"/>
        <v>215858.276417328</v>
      </c>
    </row>
    <row r="15" s="1" customFormat="1" spans="1:8">
      <c r="A15" s="4" t="s">
        <v>21</v>
      </c>
      <c r="B15" s="4" t="s">
        <v>8</v>
      </c>
      <c r="C15" s="4">
        <v>90</v>
      </c>
      <c r="D15" s="5">
        <v>337.296790952461</v>
      </c>
      <c r="E15" s="5">
        <v>264.33990778373</v>
      </c>
      <c r="F15" s="5">
        <v>125.355081796117</v>
      </c>
      <c r="G15" s="5">
        <f t="shared" si="0"/>
        <v>1.27599647658355</v>
      </c>
      <c r="H15" s="5">
        <f t="shared" si="1"/>
        <v>132832.402179932</v>
      </c>
    </row>
    <row r="16" s="1" customFormat="1" spans="1:8">
      <c r="A16" s="4" t="s">
        <v>22</v>
      </c>
      <c r="B16" s="4" t="s">
        <v>8</v>
      </c>
      <c r="C16" s="4">
        <v>90</v>
      </c>
      <c r="D16" s="5">
        <v>262.626767723611</v>
      </c>
      <c r="E16" s="5">
        <v>333.367284517662</v>
      </c>
      <c r="F16" s="5">
        <v>183.094745651725</v>
      </c>
      <c r="G16" s="5">
        <f t="shared" si="0"/>
        <v>0.787800062935381</v>
      </c>
      <c r="H16" s="5">
        <f t="shared" si="1"/>
        <v>151065.30875992</v>
      </c>
    </row>
    <row r="17" s="1" customFormat="1" spans="1:8">
      <c r="A17" s="4" t="s">
        <v>23</v>
      </c>
      <c r="B17" s="4" t="s">
        <v>8</v>
      </c>
      <c r="C17" s="4">
        <v>90</v>
      </c>
      <c r="D17" s="5">
        <v>255.131642100618</v>
      </c>
      <c r="E17" s="5">
        <v>359.129570609003</v>
      </c>
      <c r="F17" s="5">
        <v>136.13676971168</v>
      </c>
      <c r="G17" s="5">
        <f t="shared" si="0"/>
        <v>0.710416693529224</v>
      </c>
      <c r="H17" s="5">
        <f t="shared" si="1"/>
        <v>109116.30180019</v>
      </c>
    </row>
    <row r="18" s="1" customFormat="1" spans="1:8">
      <c r="A18" s="4" t="s">
        <v>24</v>
      </c>
      <c r="B18" s="4" t="s">
        <v>8</v>
      </c>
      <c r="C18" s="4">
        <v>90</v>
      </c>
      <c r="D18" s="5">
        <v>365.698382121462</v>
      </c>
      <c r="E18" s="5">
        <v>328.333833949597</v>
      </c>
      <c r="F18" s="5">
        <v>188.459064852303</v>
      </c>
      <c r="G18" s="5">
        <f t="shared" si="0"/>
        <v>1.11380048081673</v>
      </c>
      <c r="H18" s="5">
        <f t="shared" si="1"/>
        <v>216515.974225247</v>
      </c>
    </row>
    <row r="19" s="1" customFormat="1" spans="1:8">
      <c r="A19" s="4" t="s">
        <v>25</v>
      </c>
      <c r="B19" s="4" t="s">
        <v>8</v>
      </c>
      <c r="C19" s="4">
        <v>90</v>
      </c>
      <c r="D19" s="5">
        <v>368.619504652104</v>
      </c>
      <c r="E19" s="5">
        <v>279.53512753843</v>
      </c>
      <c r="F19" s="5">
        <v>179.606990887945</v>
      </c>
      <c r="G19" s="5">
        <f t="shared" si="0"/>
        <v>1.3186875935706</v>
      </c>
      <c r="H19" s="5">
        <f t="shared" si="1"/>
        <v>207994.293884237</v>
      </c>
    </row>
    <row r="20" s="1" customFormat="1" spans="1:8">
      <c r="A20" s="4" t="s">
        <v>26</v>
      </c>
      <c r="B20" s="4" t="s">
        <v>8</v>
      </c>
      <c r="C20" s="4">
        <v>150</v>
      </c>
      <c r="D20" s="5">
        <v>522.62153825705</v>
      </c>
      <c r="E20" s="5">
        <v>358.453814343504</v>
      </c>
      <c r="F20" s="5">
        <v>203.53831425104</v>
      </c>
      <c r="G20" s="5">
        <f t="shared" si="0"/>
        <v>1.45798849766521</v>
      </c>
      <c r="H20" s="5">
        <f t="shared" si="1"/>
        <v>334182.227776318</v>
      </c>
    </row>
    <row r="21" s="1" customFormat="1" spans="1:8">
      <c r="A21" s="4" t="s">
        <v>27</v>
      </c>
      <c r="B21" s="4" t="s">
        <v>8</v>
      </c>
      <c r="C21" s="4">
        <v>150</v>
      </c>
      <c r="D21" s="5">
        <v>344.346868042071</v>
      </c>
      <c r="E21" s="5">
        <v>327.331937479774</v>
      </c>
      <c r="F21" s="5">
        <v>152.491871672735</v>
      </c>
      <c r="G21" s="5">
        <f t="shared" si="0"/>
        <v>1.05198066126178</v>
      </c>
      <c r="H21" s="5">
        <f t="shared" si="1"/>
        <v>164965.339411609</v>
      </c>
    </row>
    <row r="22" s="1" customFormat="1" spans="1:8">
      <c r="A22" s="4" t="s">
        <v>28</v>
      </c>
      <c r="B22" s="4" t="s">
        <v>8</v>
      </c>
      <c r="C22" s="4">
        <v>150</v>
      </c>
      <c r="D22" s="5">
        <v>395.823943722418</v>
      </c>
      <c r="E22" s="5">
        <v>333.350709741836</v>
      </c>
      <c r="F22" s="5">
        <v>174.535303056046</v>
      </c>
      <c r="G22" s="5">
        <f t="shared" si="0"/>
        <v>1.18740993240712</v>
      </c>
      <c r="H22" s="5">
        <f t="shared" si="1"/>
        <v>217037.720074274</v>
      </c>
    </row>
    <row r="23" s="1" customFormat="1" spans="1:8">
      <c r="A23" s="4" t="s">
        <v>29</v>
      </c>
      <c r="B23" s="4" t="s">
        <v>8</v>
      </c>
      <c r="C23" s="4">
        <v>150</v>
      </c>
      <c r="D23" s="5">
        <v>415.85780276488</v>
      </c>
      <c r="E23" s="5">
        <v>315.11082549599</v>
      </c>
      <c r="F23" s="5">
        <v>167.761002458843</v>
      </c>
      <c r="G23" s="5">
        <f t="shared" si="0"/>
        <v>1.31971918803587</v>
      </c>
      <c r="H23" s="5">
        <f t="shared" si="1"/>
        <v>219172.337713338</v>
      </c>
    </row>
    <row r="24" s="1" customFormat="1" spans="1:8">
      <c r="A24" s="4" t="s">
        <v>30</v>
      </c>
      <c r="B24" s="4" t="s">
        <v>8</v>
      </c>
      <c r="C24" s="4">
        <v>150</v>
      </c>
      <c r="D24" s="5">
        <v>382.03881588939</v>
      </c>
      <c r="E24" s="5">
        <v>325.70140520111</v>
      </c>
      <c r="F24" s="5">
        <v>171.977371619279</v>
      </c>
      <c r="G24" s="5">
        <f t="shared" si="0"/>
        <v>1.17297257484503</v>
      </c>
      <c r="H24" s="5">
        <f t="shared" si="1"/>
        <v>206409.019213632</v>
      </c>
    </row>
    <row r="25" s="1" customFormat="1" spans="1:8">
      <c r="A25" s="4" t="s">
        <v>31</v>
      </c>
      <c r="B25" s="4" t="s">
        <v>8</v>
      </c>
      <c r="C25" s="4">
        <v>150</v>
      </c>
      <c r="D25" s="5">
        <v>426.115812711255</v>
      </c>
      <c r="E25" s="5">
        <v>372.539022608774</v>
      </c>
      <c r="F25" s="5">
        <v>172.562715596908</v>
      </c>
      <c r="G25" s="5">
        <f t="shared" si="0"/>
        <v>1.14381524310473</v>
      </c>
      <c r="H25" s="5">
        <f t="shared" si="1"/>
        <v>231006.654181582</v>
      </c>
    </row>
    <row r="26" s="1" customFormat="1" spans="1:8">
      <c r="A26" s="4" t="s">
        <v>32</v>
      </c>
      <c r="B26" s="4" t="s">
        <v>8</v>
      </c>
      <c r="C26" s="4">
        <v>210</v>
      </c>
      <c r="D26" s="5">
        <v>336.18365052646</v>
      </c>
      <c r="E26" s="5">
        <v>217.05505891563</v>
      </c>
      <c r="F26" s="5">
        <v>129.729337925612</v>
      </c>
      <c r="G26" s="5">
        <f t="shared" si="0"/>
        <v>1.5488404288109</v>
      </c>
      <c r="H26" s="5">
        <f t="shared" si="1"/>
        <v>137013.910962951</v>
      </c>
    </row>
    <row r="27" s="1" customFormat="1" spans="1:8">
      <c r="A27" s="4" t="s">
        <v>33</v>
      </c>
      <c r="B27" s="4" t="s">
        <v>8</v>
      </c>
      <c r="C27" s="4">
        <v>210</v>
      </c>
      <c r="D27" s="5">
        <v>296.746445270668</v>
      </c>
      <c r="E27" s="5">
        <v>217.680606935863</v>
      </c>
      <c r="F27" s="5">
        <v>151.411411356281</v>
      </c>
      <c r="G27" s="5">
        <f t="shared" si="0"/>
        <v>1.36321948678736</v>
      </c>
      <c r="H27" s="5">
        <f t="shared" si="1"/>
        <v>141154.265210124</v>
      </c>
    </row>
    <row r="28" s="1" customFormat="1" spans="1:8">
      <c r="A28" s="4" t="s">
        <v>34</v>
      </c>
      <c r="B28" s="4" t="s">
        <v>8</v>
      </c>
      <c r="C28" s="4">
        <v>210</v>
      </c>
      <c r="D28" s="5">
        <v>379.259895577131</v>
      </c>
      <c r="E28" s="5">
        <v>214.543403475112</v>
      </c>
      <c r="F28" s="5">
        <v>182.575535174911</v>
      </c>
      <c r="G28" s="5">
        <f t="shared" si="0"/>
        <v>1.76775370127438</v>
      </c>
      <c r="H28" s="5">
        <f t="shared" si="1"/>
        <v>217535.117226597</v>
      </c>
    </row>
    <row r="29" s="1" customFormat="1" spans="1:8">
      <c r="A29" s="4" t="s">
        <v>35</v>
      </c>
      <c r="B29" s="4" t="s">
        <v>8</v>
      </c>
      <c r="C29" s="4">
        <v>210</v>
      </c>
      <c r="D29" s="5">
        <v>611.8134788364</v>
      </c>
      <c r="E29" s="5">
        <v>300.365435270251</v>
      </c>
      <c r="F29" s="5">
        <v>157.613460259383</v>
      </c>
      <c r="G29" s="5">
        <f t="shared" si="0"/>
        <v>2.03689708266841</v>
      </c>
      <c r="H29" s="5">
        <f t="shared" si="1"/>
        <v>302943.903467257</v>
      </c>
    </row>
    <row r="30" s="1" customFormat="1" spans="1:8">
      <c r="A30" s="4" t="s">
        <v>36</v>
      </c>
      <c r="B30" s="4" t="s">
        <v>8</v>
      </c>
      <c r="C30" s="4">
        <v>210</v>
      </c>
      <c r="D30" s="5">
        <v>508.171274824496</v>
      </c>
      <c r="E30" s="5">
        <v>285.20345471994</v>
      </c>
      <c r="F30" s="5">
        <v>207.994946699029</v>
      </c>
      <c r="G30" s="5">
        <f t="shared" si="0"/>
        <v>1.7817851306307</v>
      </c>
      <c r="H30" s="5">
        <f t="shared" si="1"/>
        <v>332057.098471864</v>
      </c>
    </row>
    <row r="31" s="1" customFormat="1" spans="1:8">
      <c r="A31" s="4" t="s">
        <v>37</v>
      </c>
      <c r="B31" s="4" t="s">
        <v>8</v>
      </c>
      <c r="C31" s="4">
        <v>210</v>
      </c>
      <c r="D31" s="5">
        <v>400.865847080906</v>
      </c>
      <c r="E31" s="5">
        <v>245.077517411003</v>
      </c>
      <c r="F31" s="5">
        <v>144.622175877023</v>
      </c>
      <c r="G31" s="5">
        <f t="shared" si="0"/>
        <v>1.63566960901045</v>
      </c>
      <c r="H31" s="5">
        <f t="shared" si="1"/>
        <v>182130.978508637</v>
      </c>
    </row>
    <row r="32" s="1" customFormat="1" spans="1:8">
      <c r="A32" s="4" t="s">
        <v>38</v>
      </c>
      <c r="B32" s="4" t="s">
        <v>8</v>
      </c>
      <c r="C32" s="4">
        <v>300</v>
      </c>
      <c r="D32" s="5">
        <v>344.734818808753</v>
      </c>
      <c r="E32" s="5">
        <v>303.145652627524</v>
      </c>
      <c r="F32" s="5">
        <v>149.212362297735</v>
      </c>
      <c r="G32" s="5">
        <f t="shared" si="0"/>
        <v>1.13719202574985</v>
      </c>
      <c r="H32" s="5">
        <f t="shared" si="1"/>
        <v>161599.431602433</v>
      </c>
    </row>
    <row r="33" s="1" customFormat="1" spans="1:8">
      <c r="A33" s="4" t="s">
        <v>39</v>
      </c>
      <c r="B33" s="4" t="s">
        <v>8</v>
      </c>
      <c r="C33" s="4">
        <v>300</v>
      </c>
      <c r="D33" s="5">
        <v>348.201279474263</v>
      </c>
      <c r="E33" s="5">
        <v>485.328481113757</v>
      </c>
      <c r="F33" s="5">
        <v>163.992114737131</v>
      </c>
      <c r="G33" s="5">
        <f t="shared" si="0"/>
        <v>0.717454864126648</v>
      </c>
      <c r="H33" s="5">
        <f t="shared" si="1"/>
        <v>179392.053636024</v>
      </c>
    </row>
    <row r="34" s="1" customFormat="1" spans="1:8">
      <c r="A34" s="4" t="s">
        <v>40</v>
      </c>
      <c r="B34" s="4" t="s">
        <v>8</v>
      </c>
      <c r="C34" s="4">
        <v>300</v>
      </c>
      <c r="D34" s="5">
        <v>381.203763428142</v>
      </c>
      <c r="E34" s="5">
        <v>279.697499890606</v>
      </c>
      <c r="F34" s="5">
        <v>152.385399815397</v>
      </c>
      <c r="G34" s="5">
        <f t="shared" si="0"/>
        <v>1.36291444713391</v>
      </c>
      <c r="H34" s="5">
        <f t="shared" si="1"/>
        <v>182494.765078049</v>
      </c>
    </row>
    <row r="35" s="1" customFormat="1" spans="1:8">
      <c r="A35" s="4" t="s">
        <v>41</v>
      </c>
      <c r="B35" s="4" t="s">
        <v>8</v>
      </c>
      <c r="C35" s="4">
        <v>300</v>
      </c>
      <c r="D35" s="5">
        <v>352.185105021011</v>
      </c>
      <c r="E35" s="5">
        <v>222.044048514708</v>
      </c>
      <c r="F35" s="5">
        <v>128.121198869729</v>
      </c>
      <c r="G35" s="5">
        <f t="shared" si="0"/>
        <v>1.58610468227741</v>
      </c>
      <c r="H35" s="5">
        <f t="shared" si="1"/>
        <v>141756.130858279</v>
      </c>
    </row>
    <row r="36" s="1" customFormat="1" spans="1:8">
      <c r="A36" s="4" t="s">
        <v>42</v>
      </c>
      <c r="B36" s="4" t="s">
        <v>8</v>
      </c>
      <c r="C36" s="4">
        <v>300</v>
      </c>
      <c r="D36" s="5">
        <v>340.757048636493</v>
      </c>
      <c r="E36" s="5">
        <v>231.920601784694</v>
      </c>
      <c r="F36" s="5">
        <v>139.015703283838</v>
      </c>
      <c r="G36" s="5">
        <f t="shared" si="0"/>
        <v>1.46928322026707</v>
      </c>
      <c r="H36" s="5">
        <f t="shared" si="1"/>
        <v>148819.068528005</v>
      </c>
    </row>
    <row r="37" s="1" customFormat="1" spans="1:8">
      <c r="A37" s="4" t="s">
        <v>43</v>
      </c>
      <c r="B37" s="4" t="s">
        <v>8</v>
      </c>
      <c r="C37" s="4">
        <v>300</v>
      </c>
      <c r="D37" s="5">
        <v>246.735216253467</v>
      </c>
      <c r="E37" s="5">
        <v>189.389869027392</v>
      </c>
      <c r="F37" s="5">
        <v>134.891620579057</v>
      </c>
      <c r="G37" s="5">
        <f t="shared" si="0"/>
        <v>1.3027899407744</v>
      </c>
      <c r="H37" s="5">
        <f t="shared" si="1"/>
        <v>104560.098881557</v>
      </c>
    </row>
    <row r="38" s="1" customFormat="1" spans="1:8">
      <c r="A38" s="4" t="s">
        <v>44</v>
      </c>
      <c r="B38" s="4" t="s">
        <v>45</v>
      </c>
      <c r="C38" s="4">
        <v>30</v>
      </c>
      <c r="D38" s="5">
        <v>264.16520211827</v>
      </c>
      <c r="E38" s="5">
        <v>307.635205457488</v>
      </c>
      <c r="F38" s="5">
        <v>129.842860650191</v>
      </c>
      <c r="G38" s="5">
        <f t="shared" si="0"/>
        <v>0.858696265680733</v>
      </c>
      <c r="H38" s="5">
        <f t="shared" si="1"/>
        <v>107756.519718861</v>
      </c>
    </row>
    <row r="39" s="1" customFormat="1" spans="1:8">
      <c r="A39" s="4" t="s">
        <v>46</v>
      </c>
      <c r="B39" s="4" t="s">
        <v>45</v>
      </c>
      <c r="C39" s="4">
        <v>30</v>
      </c>
      <c r="D39" s="5">
        <v>304.597113045013</v>
      </c>
      <c r="E39" s="5">
        <v>304.10378011474</v>
      </c>
      <c r="F39" s="5">
        <v>150.66192168579</v>
      </c>
      <c r="G39" s="5">
        <f t="shared" si="0"/>
        <v>1.00162225188417</v>
      </c>
      <c r="H39" s="5">
        <f t="shared" si="1"/>
        <v>144171.414031445</v>
      </c>
    </row>
    <row r="40" s="1" customFormat="1" spans="1:8">
      <c r="A40" s="4" t="s">
        <v>47</v>
      </c>
      <c r="B40" s="4" t="s">
        <v>45</v>
      </c>
      <c r="C40" s="4">
        <v>30</v>
      </c>
      <c r="D40" s="5">
        <v>224.523230774676</v>
      </c>
      <c r="E40" s="5">
        <v>281.951501203479</v>
      </c>
      <c r="F40" s="5">
        <v>136.921979085761</v>
      </c>
      <c r="G40" s="5">
        <f t="shared" si="0"/>
        <v>0.796318621522933</v>
      </c>
      <c r="H40" s="5">
        <f t="shared" si="1"/>
        <v>96579.3600599866</v>
      </c>
    </row>
    <row r="41" s="1" customFormat="1" spans="1:8">
      <c r="A41" s="4" t="s">
        <v>48</v>
      </c>
      <c r="B41" s="4" t="s">
        <v>45</v>
      </c>
      <c r="C41" s="4">
        <v>30</v>
      </c>
      <c r="D41" s="5">
        <v>260.285400718447</v>
      </c>
      <c r="E41" s="5">
        <v>283.541687339806</v>
      </c>
      <c r="F41" s="5">
        <v>135.013633796116</v>
      </c>
      <c r="G41" s="5">
        <f t="shared" si="0"/>
        <v>0.917979303715267</v>
      </c>
      <c r="H41" s="5">
        <f t="shared" si="1"/>
        <v>110402.093370059</v>
      </c>
    </row>
    <row r="42" s="1" customFormat="1" spans="1:8">
      <c r="A42" s="4" t="s">
        <v>49</v>
      </c>
      <c r="B42" s="4" t="s">
        <v>45</v>
      </c>
      <c r="C42" s="4">
        <v>30</v>
      </c>
      <c r="D42" s="5">
        <v>231.857039544436</v>
      </c>
      <c r="E42" s="5">
        <v>274.544936239731</v>
      </c>
      <c r="F42" s="5">
        <v>123.123821639283</v>
      </c>
      <c r="G42" s="5">
        <f t="shared" si="0"/>
        <v>0.844513990023039</v>
      </c>
      <c r="H42" s="5">
        <f t="shared" si="1"/>
        <v>89683.4374983828</v>
      </c>
    </row>
    <row r="43" s="1" customFormat="1" spans="1:8">
      <c r="A43" s="4" t="s">
        <v>50</v>
      </c>
      <c r="B43" s="4" t="s">
        <v>45</v>
      </c>
      <c r="C43" s="4">
        <v>30</v>
      </c>
      <c r="D43" s="5">
        <v>296.584884088457</v>
      </c>
      <c r="E43" s="5">
        <v>300.60054223301</v>
      </c>
      <c r="F43" s="5">
        <v>134.798179998202</v>
      </c>
      <c r="G43" s="5">
        <f t="shared" si="0"/>
        <v>0.986641214567603</v>
      </c>
      <c r="H43" s="5">
        <f t="shared" si="1"/>
        <v>125598.054994176</v>
      </c>
    </row>
    <row r="44" s="1" customFormat="1" spans="1:8">
      <c r="A44" s="4" t="s">
        <v>51</v>
      </c>
      <c r="B44" s="4" t="s">
        <v>45</v>
      </c>
      <c r="C44" s="4">
        <v>60</v>
      </c>
      <c r="D44" s="5">
        <v>263.168313230737</v>
      </c>
      <c r="E44" s="5">
        <v>287.392225883082</v>
      </c>
      <c r="F44" s="5">
        <v>153.342109925635</v>
      </c>
      <c r="G44" s="5">
        <f t="shared" si="0"/>
        <v>0.915711315509975</v>
      </c>
      <c r="H44" s="5">
        <f t="shared" si="1"/>
        <v>126778.294259673</v>
      </c>
    </row>
    <row r="45" s="1" customFormat="1" spans="1:8">
      <c r="A45" s="4" t="s">
        <v>52</v>
      </c>
      <c r="B45" s="4" t="s">
        <v>45</v>
      </c>
      <c r="C45" s="4">
        <v>60</v>
      </c>
      <c r="D45" s="5">
        <v>307.171026807834</v>
      </c>
      <c r="E45" s="5">
        <v>322.878591262136</v>
      </c>
      <c r="F45" s="5">
        <v>155.17334853532</v>
      </c>
      <c r="G45" s="5">
        <f t="shared" si="0"/>
        <v>0.951351483562595</v>
      </c>
      <c r="H45" s="5">
        <f t="shared" si="1"/>
        <v>149743.249806834</v>
      </c>
    </row>
    <row r="46" s="1" customFormat="1" spans="1:8">
      <c r="A46" s="4" t="s">
        <v>53</v>
      </c>
      <c r="B46" s="4" t="s">
        <v>45</v>
      </c>
      <c r="C46" s="4">
        <v>60</v>
      </c>
      <c r="D46" s="5">
        <v>332.14045772286</v>
      </c>
      <c r="E46" s="5">
        <v>346.630993049426</v>
      </c>
      <c r="F46" s="5">
        <v>162.214182700794</v>
      </c>
      <c r="G46" s="5">
        <f t="shared" si="0"/>
        <v>0.958196077046983</v>
      </c>
      <c r="H46" s="5">
        <f t="shared" si="1"/>
        <v>169262.392498461</v>
      </c>
    </row>
    <row r="47" s="1" customFormat="1" spans="1:8">
      <c r="A47" s="4" t="s">
        <v>54</v>
      </c>
      <c r="B47" s="4" t="s">
        <v>45</v>
      </c>
      <c r="C47" s="4">
        <v>60</v>
      </c>
      <c r="D47" s="5">
        <v>302.69112143537</v>
      </c>
      <c r="E47" s="5">
        <v>328.009368998667</v>
      </c>
      <c r="F47" s="5">
        <v>142.013333371407</v>
      </c>
      <c r="G47" s="5">
        <f t="shared" si="0"/>
        <v>0.92281242563105</v>
      </c>
      <c r="H47" s="5">
        <f t="shared" si="1"/>
        <v>135045.052016217</v>
      </c>
    </row>
    <row r="48" s="1" customFormat="1" spans="1:8">
      <c r="A48" s="4" t="s">
        <v>55</v>
      </c>
      <c r="B48" s="4" t="s">
        <v>45</v>
      </c>
      <c r="C48" s="4">
        <v>60</v>
      </c>
      <c r="D48" s="5">
        <v>244.287983798544</v>
      </c>
      <c r="E48" s="5">
        <v>401.097427645631</v>
      </c>
      <c r="F48" s="5">
        <v>158.86685881068</v>
      </c>
      <c r="G48" s="5">
        <f t="shared" si="0"/>
        <v>0.609048991494336</v>
      </c>
      <c r="H48" s="5">
        <f t="shared" si="1"/>
        <v>121922.900656817</v>
      </c>
    </row>
    <row r="49" s="1" customFormat="1" spans="1:8">
      <c r="A49" s="4" t="s">
        <v>56</v>
      </c>
      <c r="B49" s="4" t="s">
        <v>45</v>
      </c>
      <c r="C49" s="4">
        <v>60</v>
      </c>
      <c r="D49" s="5">
        <v>290.12206050224</v>
      </c>
      <c r="E49" s="5">
        <v>344.619108243092</v>
      </c>
      <c r="F49" s="5">
        <v>143.880692699776</v>
      </c>
      <c r="G49" s="5">
        <f t="shared" si="0"/>
        <v>0.841862954092464</v>
      </c>
      <c r="H49" s="5">
        <f t="shared" si="1"/>
        <v>131139.386002125</v>
      </c>
    </row>
    <row r="50" s="1" customFormat="1" spans="1:8">
      <c r="A50" s="4" t="s">
        <v>57</v>
      </c>
      <c r="B50" s="4" t="s">
        <v>45</v>
      </c>
      <c r="C50" s="4">
        <v>90</v>
      </c>
      <c r="D50" s="5">
        <v>301.830487297735</v>
      </c>
      <c r="E50" s="5">
        <v>321.117444587379</v>
      </c>
      <c r="F50" s="5">
        <v>157.01538184466</v>
      </c>
      <c r="G50" s="5">
        <f t="shared" si="0"/>
        <v>0.939937995849379</v>
      </c>
      <c r="H50" s="5">
        <f t="shared" si="1"/>
        <v>148886.450821856</v>
      </c>
    </row>
    <row r="51" s="1" customFormat="1" spans="1:8">
      <c r="A51" s="4" t="s">
        <v>58</v>
      </c>
      <c r="B51" s="4" t="s">
        <v>45</v>
      </c>
      <c r="C51" s="4">
        <v>90</v>
      </c>
      <c r="D51" s="5">
        <v>367.584962228387</v>
      </c>
      <c r="E51" s="5">
        <v>318.99266530282</v>
      </c>
      <c r="F51" s="5">
        <v>152.879204291879</v>
      </c>
      <c r="G51" s="5">
        <f t="shared" si="0"/>
        <v>1.15233045211067</v>
      </c>
      <c r="H51" s="5">
        <f t="shared" si="1"/>
        <v>176545.244035207</v>
      </c>
    </row>
    <row r="52" s="1" customFormat="1" spans="1:8">
      <c r="A52" s="4" t="s">
        <v>59</v>
      </c>
      <c r="B52" s="4" t="s">
        <v>45</v>
      </c>
      <c r="C52" s="4">
        <v>90</v>
      </c>
      <c r="D52" s="5">
        <v>287.31085374072</v>
      </c>
      <c r="E52" s="5">
        <v>320.283679392728</v>
      </c>
      <c r="F52" s="5">
        <v>160.139323729298</v>
      </c>
      <c r="G52" s="5">
        <f t="shared" si="0"/>
        <v>0.897051183767696</v>
      </c>
      <c r="H52" s="5">
        <f t="shared" si="1"/>
        <v>144543.942287612</v>
      </c>
    </row>
    <row r="53" s="1" customFormat="1" spans="1:8">
      <c r="A53" s="4" t="s">
        <v>60</v>
      </c>
      <c r="B53" s="4" t="s">
        <v>45</v>
      </c>
      <c r="C53" s="4">
        <v>90</v>
      </c>
      <c r="D53" s="5">
        <v>305.757812530854</v>
      </c>
      <c r="E53" s="5">
        <v>346.434880738851</v>
      </c>
      <c r="F53" s="5">
        <v>146.997115640941</v>
      </c>
      <c r="G53" s="5">
        <f t="shared" si="0"/>
        <v>0.882583797216828</v>
      </c>
      <c r="H53" s="5">
        <f t="shared" si="1"/>
        <v>141200.504532139</v>
      </c>
    </row>
    <row r="54" s="1" customFormat="1" spans="1:8">
      <c r="A54" s="4" t="s">
        <v>61</v>
      </c>
      <c r="B54" s="4" t="s">
        <v>45</v>
      </c>
      <c r="C54" s="4">
        <v>90</v>
      </c>
      <c r="D54" s="5">
        <v>257.745168338727</v>
      </c>
      <c r="E54" s="5">
        <v>379.580174002157</v>
      </c>
      <c r="F54" s="5">
        <v>163.168224878641</v>
      </c>
      <c r="G54" s="5">
        <f t="shared" si="0"/>
        <v>0.679026951331927</v>
      </c>
      <c r="H54" s="5">
        <f t="shared" si="1"/>
        <v>132122.260144298</v>
      </c>
    </row>
    <row r="55" s="1" customFormat="1" spans="1:8">
      <c r="A55" s="4" t="s">
        <v>62</v>
      </c>
      <c r="B55" s="4" t="s">
        <v>45</v>
      </c>
      <c r="C55" s="4">
        <v>90</v>
      </c>
      <c r="D55" s="5">
        <v>272.646563151953</v>
      </c>
      <c r="E55" s="5">
        <v>337.844271585008</v>
      </c>
      <c r="F55" s="5">
        <v>167.325824587943</v>
      </c>
      <c r="G55" s="5">
        <f t="shared" si="0"/>
        <v>0.807018458157725</v>
      </c>
      <c r="H55" s="5">
        <f t="shared" si="1"/>
        <v>143322.004689883</v>
      </c>
    </row>
    <row r="56" s="1" customFormat="1" spans="1:8">
      <c r="A56" s="4" t="s">
        <v>63</v>
      </c>
      <c r="B56" s="4" t="s">
        <v>45</v>
      </c>
      <c r="C56" s="4">
        <v>150</v>
      </c>
      <c r="D56" s="5">
        <v>396.777348283878</v>
      </c>
      <c r="E56" s="5">
        <v>408.281854792835</v>
      </c>
      <c r="F56" s="5">
        <v>144.920868357719</v>
      </c>
      <c r="G56" s="5">
        <f t="shared" si="0"/>
        <v>0.971822145966309</v>
      </c>
      <c r="H56" s="5">
        <f t="shared" si="1"/>
        <v>180645.717754339</v>
      </c>
    </row>
    <row r="57" s="1" customFormat="1" spans="1:8">
      <c r="A57" s="4" t="s">
        <v>64</v>
      </c>
      <c r="B57" s="4" t="s">
        <v>45</v>
      </c>
      <c r="C57" s="4">
        <v>150</v>
      </c>
      <c r="D57" s="5">
        <v>415.958152734628</v>
      </c>
      <c r="E57" s="5">
        <v>324.545449908306</v>
      </c>
      <c r="F57" s="5">
        <v>141.4363600863</v>
      </c>
      <c r="G57" s="5">
        <f t="shared" si="0"/>
        <v>1.28166379424561</v>
      </c>
      <c r="H57" s="5">
        <f t="shared" si="1"/>
        <v>184824.944573157</v>
      </c>
    </row>
    <row r="58" s="1" customFormat="1" spans="1:8">
      <c r="A58" s="4" t="s">
        <v>65</v>
      </c>
      <c r="B58" s="4" t="s">
        <v>45</v>
      </c>
      <c r="C58" s="4">
        <v>150</v>
      </c>
      <c r="D58" s="5">
        <v>324.059147800551</v>
      </c>
      <c r="E58" s="5">
        <v>266.837235341004</v>
      </c>
      <c r="F58" s="5">
        <v>149.766795780894</v>
      </c>
      <c r="G58" s="5">
        <f t="shared" si="0"/>
        <v>1.21444500572201</v>
      </c>
      <c r="H58" s="5">
        <f t="shared" si="1"/>
        <v>152471.859392871</v>
      </c>
    </row>
    <row r="59" s="1" customFormat="1" spans="1:8">
      <c r="A59" s="4" t="s">
        <v>66</v>
      </c>
      <c r="B59" s="4" t="s">
        <v>45</v>
      </c>
      <c r="C59" s="4">
        <v>150</v>
      </c>
      <c r="D59" s="5">
        <v>394.439770090274</v>
      </c>
      <c r="E59" s="5">
        <v>342.913017952649</v>
      </c>
      <c r="F59" s="5">
        <v>152.737000698348</v>
      </c>
      <c r="G59" s="5">
        <f t="shared" si="0"/>
        <v>1.15026187237004</v>
      </c>
      <c r="H59" s="5">
        <f t="shared" si="1"/>
        <v>189266.969248165</v>
      </c>
    </row>
    <row r="60" s="1" customFormat="1" spans="1:8">
      <c r="A60" s="4" t="s">
        <v>67</v>
      </c>
      <c r="B60" s="4" t="s">
        <v>45</v>
      </c>
      <c r="C60" s="4">
        <v>150</v>
      </c>
      <c r="D60" s="5">
        <v>370.721289398685</v>
      </c>
      <c r="E60" s="5">
        <v>331.591503437206</v>
      </c>
      <c r="F60" s="5">
        <v>139.48020755559</v>
      </c>
      <c r="G60" s="5">
        <f t="shared" si="0"/>
        <v>1.11800599700495</v>
      </c>
      <c r="H60" s="5">
        <f t="shared" si="1"/>
        <v>162446.36008807</v>
      </c>
    </row>
    <row r="61" s="1" customFormat="1" spans="1:8">
      <c r="A61" s="4" t="s">
        <v>68</v>
      </c>
      <c r="B61" s="4" t="s">
        <v>45</v>
      </c>
      <c r="C61" s="4">
        <v>150</v>
      </c>
      <c r="D61" s="5">
        <v>283.288765924234</v>
      </c>
      <c r="E61" s="5">
        <v>344.51542944032</v>
      </c>
      <c r="F61" s="5">
        <v>150.697406225014</v>
      </c>
      <c r="G61" s="5">
        <f t="shared" si="0"/>
        <v>0.822281795577193</v>
      </c>
      <c r="H61" s="5">
        <f t="shared" si="1"/>
        <v>134117.362012494</v>
      </c>
    </row>
    <row r="62" s="1" customFormat="1" spans="1:8">
      <c r="A62" s="4" t="s">
        <v>69</v>
      </c>
      <c r="B62" s="4" t="s">
        <v>45</v>
      </c>
      <c r="C62" s="4">
        <v>210</v>
      </c>
      <c r="D62" s="5">
        <v>306.515369587379</v>
      </c>
      <c r="E62" s="5">
        <v>450.059808337379</v>
      </c>
      <c r="F62" s="5">
        <v>154.544129235437</v>
      </c>
      <c r="G62" s="5">
        <f t="shared" si="0"/>
        <v>0.681054748522679</v>
      </c>
      <c r="H62" s="5">
        <f t="shared" si="1"/>
        <v>148817.718035965</v>
      </c>
    </row>
    <row r="63" s="1" customFormat="1" spans="1:8">
      <c r="A63" s="4" t="s">
        <v>70</v>
      </c>
      <c r="B63" s="4" t="s">
        <v>45</v>
      </c>
      <c r="C63" s="4">
        <v>210</v>
      </c>
      <c r="D63" s="5">
        <v>384.317548457563</v>
      </c>
      <c r="E63" s="5">
        <v>368.989293102098</v>
      </c>
      <c r="F63" s="5">
        <v>153.971564727529</v>
      </c>
      <c r="G63" s="5">
        <f t="shared" si="0"/>
        <v>1.04154119277175</v>
      </c>
      <c r="H63" s="5">
        <f t="shared" si="1"/>
        <v>185900.522907706</v>
      </c>
    </row>
    <row r="64" s="1" customFormat="1" spans="1:8">
      <c r="A64" s="4" t="s">
        <v>71</v>
      </c>
      <c r="B64" s="4" t="s">
        <v>45</v>
      </c>
      <c r="C64" s="4">
        <v>210</v>
      </c>
      <c r="D64" s="5">
        <v>408.90178111906</v>
      </c>
      <c r="E64" s="5">
        <v>300.028415521206</v>
      </c>
      <c r="F64" s="5">
        <v>200.64106037302</v>
      </c>
      <c r="G64" s="5">
        <f t="shared" si="0"/>
        <v>1.36287684754366</v>
      </c>
      <c r="H64" s="5">
        <f t="shared" si="1"/>
        <v>257744.074291094</v>
      </c>
    </row>
    <row r="65" s="1" customFormat="1" spans="1:8">
      <c r="A65" s="4" t="s">
        <v>72</v>
      </c>
      <c r="B65" s="4" t="s">
        <v>45</v>
      </c>
      <c r="C65" s="4">
        <v>210</v>
      </c>
      <c r="D65" s="5">
        <v>305.136905028394</v>
      </c>
      <c r="E65" s="5">
        <v>356.269530848141</v>
      </c>
      <c r="F65" s="5">
        <v>181.859400659461</v>
      </c>
      <c r="G65" s="5">
        <f t="shared" si="0"/>
        <v>0.856477690646124</v>
      </c>
      <c r="H65" s="5">
        <f t="shared" si="1"/>
        <v>174333.305612461</v>
      </c>
    </row>
    <row r="66" s="1" customFormat="1" spans="1:8">
      <c r="A66" s="4" t="s">
        <v>73</v>
      </c>
      <c r="B66" s="4" t="s">
        <v>45</v>
      </c>
      <c r="C66" s="4">
        <v>210</v>
      </c>
      <c r="D66" s="5">
        <v>431.107103038835</v>
      </c>
      <c r="E66" s="5">
        <v>376.940433621359</v>
      </c>
      <c r="F66" s="5">
        <v>194.201179</v>
      </c>
      <c r="G66" s="5">
        <f t="shared" ref="G66:G73" si="2">D66/E66</f>
        <v>1.14370087309839</v>
      </c>
      <c r="H66" s="5">
        <f t="shared" ref="H66:H73" si="3">D66*F66*PI()</f>
        <v>263018.873491965</v>
      </c>
    </row>
    <row r="67" s="1" customFormat="1" spans="1:8">
      <c r="A67" s="4" t="s">
        <v>74</v>
      </c>
      <c r="B67" s="4" t="s">
        <v>45</v>
      </c>
      <c r="C67" s="4">
        <v>210</v>
      </c>
      <c r="D67" s="5">
        <v>368.308072078389</v>
      </c>
      <c r="E67" s="5">
        <v>442.222431751169</v>
      </c>
      <c r="F67" s="5">
        <v>143.102984016541</v>
      </c>
      <c r="G67" s="5">
        <f t="shared" si="2"/>
        <v>0.832857054808178</v>
      </c>
      <c r="H67" s="5">
        <f t="shared" si="3"/>
        <v>165580.732611505</v>
      </c>
    </row>
    <row r="68" s="1" customFormat="1" spans="1:8">
      <c r="A68" s="4" t="s">
        <v>75</v>
      </c>
      <c r="B68" s="4" t="s">
        <v>45</v>
      </c>
      <c r="C68" s="4">
        <v>300</v>
      </c>
      <c r="D68" s="5">
        <v>336.509176496764</v>
      </c>
      <c r="E68" s="5">
        <v>302.87974272856</v>
      </c>
      <c r="F68" s="5">
        <v>227.88911410801</v>
      </c>
      <c r="G68" s="5">
        <f t="shared" si="2"/>
        <v>1.11103229772069</v>
      </c>
      <c r="H68" s="5">
        <f t="shared" si="3"/>
        <v>240918.618772604</v>
      </c>
    </row>
    <row r="69" s="1" customFormat="1" spans="1:8">
      <c r="A69" s="4" t="s">
        <v>76</v>
      </c>
      <c r="B69" s="4" t="s">
        <v>45</v>
      </c>
      <c r="C69" s="4">
        <v>300</v>
      </c>
      <c r="D69" s="5">
        <v>285.480197334211</v>
      </c>
      <c r="E69" s="5">
        <v>315.097777834458</v>
      </c>
      <c r="F69" s="5">
        <v>139.46762622182</v>
      </c>
      <c r="G69" s="5">
        <f t="shared" si="2"/>
        <v>0.906005111480643</v>
      </c>
      <c r="H69" s="5">
        <f t="shared" si="3"/>
        <v>125083.282623996</v>
      </c>
    </row>
    <row r="70" s="1" customFormat="1" spans="1:8">
      <c r="A70" s="4" t="s">
        <v>77</v>
      </c>
      <c r="B70" s="4" t="s">
        <v>45</v>
      </c>
      <c r="C70" s="4">
        <v>300</v>
      </c>
      <c r="D70" s="5">
        <v>350.880187664192</v>
      </c>
      <c r="E70" s="5">
        <v>357.25900963735</v>
      </c>
      <c r="F70" s="5">
        <v>170.890647658481</v>
      </c>
      <c r="G70" s="5">
        <f t="shared" si="2"/>
        <v>0.982145105368699</v>
      </c>
      <c r="H70" s="5">
        <f t="shared" si="3"/>
        <v>188376.626435791</v>
      </c>
    </row>
    <row r="71" s="1" customFormat="1" spans="1:8">
      <c r="A71" s="4" t="s">
        <v>78</v>
      </c>
      <c r="B71" s="4" t="s">
        <v>45</v>
      </c>
      <c r="C71" s="4">
        <v>300</v>
      </c>
      <c r="D71" s="5">
        <v>335.972957281553</v>
      </c>
      <c r="E71" s="5">
        <v>340.383180162909</v>
      </c>
      <c r="F71" s="5">
        <v>138.24855109429</v>
      </c>
      <c r="G71" s="5">
        <f t="shared" si="2"/>
        <v>0.987043358372628</v>
      </c>
      <c r="H71" s="5">
        <f t="shared" si="3"/>
        <v>145919.987305138</v>
      </c>
    </row>
    <row r="72" s="1" customFormat="1" spans="1:8">
      <c r="A72" s="4" t="s">
        <v>79</v>
      </c>
      <c r="B72" s="4" t="s">
        <v>45</v>
      </c>
      <c r="C72" s="4">
        <v>300</v>
      </c>
      <c r="D72" s="5">
        <v>355.308331048544</v>
      </c>
      <c r="E72" s="5">
        <v>384.547787592233</v>
      </c>
      <c r="F72" s="5">
        <v>186.601893757282</v>
      </c>
      <c r="G72" s="5">
        <f t="shared" si="2"/>
        <v>0.923964049496252</v>
      </c>
      <c r="H72" s="5">
        <f t="shared" si="3"/>
        <v>208291.386222028</v>
      </c>
    </row>
    <row r="73" s="1" customFormat="1" spans="1:8">
      <c r="A73" s="4" t="s">
        <v>80</v>
      </c>
      <c r="B73" s="4" t="s">
        <v>45</v>
      </c>
      <c r="C73" s="4">
        <v>300</v>
      </c>
      <c r="D73" s="5">
        <v>328.56052038835</v>
      </c>
      <c r="E73" s="5">
        <v>325.149457942752</v>
      </c>
      <c r="F73" s="5">
        <v>140.747012721794</v>
      </c>
      <c r="G73" s="5">
        <f t="shared" si="2"/>
        <v>1.01049075236717</v>
      </c>
      <c r="H73" s="5">
        <f t="shared" si="3"/>
        <v>145279.533404996</v>
      </c>
    </row>
    <row r="75" s="1" customFormat="1" spans="1:8">
      <c r="A75" s="2"/>
      <c r="B75" s="2"/>
      <c r="C75" s="2"/>
      <c r="D75" s="3"/>
      <c r="E75" s="6"/>
      <c r="F75" s="6"/>
      <c r="G75" s="6"/>
      <c r="H75" s="6"/>
    </row>
    <row r="76" s="1" customFormat="1" spans="1:8">
      <c r="A76" s="2"/>
      <c r="B76" s="2"/>
      <c r="C76" s="2"/>
      <c r="D76" s="3"/>
      <c r="E76" s="6"/>
      <c r="F76" s="6"/>
      <c r="G76" s="6"/>
      <c r="H76" s="6"/>
    </row>
    <row r="77" s="1" customFormat="1" spans="1:8">
      <c r="A77" s="2"/>
      <c r="B77" s="2"/>
      <c r="C77" s="2"/>
      <c r="D77" s="3"/>
      <c r="E77" s="6"/>
      <c r="F77" s="6"/>
      <c r="G77" s="6"/>
      <c r="H77" s="6"/>
    </row>
    <row r="78" s="1" customFormat="1" spans="1:8">
      <c r="A78" s="2"/>
      <c r="B78" s="2"/>
      <c r="C78" s="2"/>
      <c r="D78" s="3"/>
      <c r="E78" s="3"/>
      <c r="F78" s="3"/>
      <c r="G78" s="6"/>
      <c r="H78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organ index</vt:lpstr>
      <vt:lpstr>Duodenum morphology  </vt:lpstr>
      <vt:lpstr>Jejunum morphology</vt:lpstr>
      <vt:lpstr>Ileum morphology 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ww</cp:lastModifiedBy>
  <dcterms:created xsi:type="dcterms:W3CDTF">2025-12-06T08:37:00Z</dcterms:created>
  <dcterms:modified xsi:type="dcterms:W3CDTF">2025-12-06T10:03:12Z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CD4E1B88F39541558AC06DB5FD2F4D9E_11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